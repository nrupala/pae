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LOSURE" sheetId="1" state="visible" r:id="rId1"/>
    <sheet xmlns:r="http://schemas.openxmlformats.org/officeDocument/2006/relationships" name="INPUT_Holdings" sheetId="2" state="visible" r:id="rId2"/>
    <sheet xmlns:r="http://schemas.openxmlformats.org/officeDocument/2006/relationships" name="RETURNS" sheetId="3" state="visible" r:id="rId3"/>
    <sheet xmlns:r="http://schemas.openxmlformats.org/officeDocument/2006/relationships" name="RISK" sheetId="4" state="visible" r:id="rId4"/>
    <sheet xmlns:r="http://schemas.openxmlformats.org/officeDocument/2006/relationships" name="FACTORS" sheetId="5" state="visible" r:id="rId5"/>
    <sheet xmlns:r="http://schemas.openxmlformats.org/officeDocument/2006/relationships" name="SCENARIOS" sheetId="6" state="visible" r:id="rId6"/>
    <sheet xmlns:r="http://schemas.openxmlformats.org/officeDocument/2006/relationships" name="DASHBOARD"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5F"/>
      <sz val="18"/>
    </font>
    <font>
      <b val="1"/>
      <color rgb="001F4E5F"/>
      <sz val="12"/>
    </font>
    <font>
      <color rgb="002C3E50"/>
      <sz val="11"/>
    </font>
    <font>
      <b val="1"/>
      <color rgb="00C0392B"/>
      <sz val="12"/>
    </font>
    <font>
      <b val="1"/>
      <color rgb="001F4E5F"/>
      <sz val="16"/>
    </font>
    <font>
      <i val="1"/>
      <color rgb="005A6C7D"/>
      <sz val="10"/>
    </font>
    <font>
      <b val="1"/>
      <color rgb="00FFFFFF"/>
      <sz val="11"/>
    </font>
    <font>
      <b val="1"/>
    </font>
    <font>
      <i val="1"/>
      <color rgb="005A6C7D"/>
      <sz val="9"/>
    </font>
    <font>
      <color rgb="002C3E50"/>
      <sz val="10"/>
    </font>
  </fonts>
  <fills count="4">
    <fill>
      <patternFill/>
    </fill>
    <fill>
      <patternFill patternType="gray125"/>
    </fill>
    <fill>
      <patternFill patternType="solid">
        <fgColor rgb="001F4E5F"/>
      </patternFill>
    </fill>
    <fill>
      <patternFill patternType="solid">
        <fgColor rgb="00FFF8E1"/>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0" applyAlignment="1" pivotButton="0" quotePrefix="0" xfId="0">
      <alignment vertical="center" wrapText="1"/>
    </xf>
    <xf numFmtId="3" fontId="0" fillId="3" borderId="0" pivotButton="0" quotePrefix="0" xfId="0"/>
    <xf numFmtId="4" fontId="0" fillId="3" borderId="0" pivotButton="0" quotePrefix="0" xfId="0"/>
    <xf numFmtId="4" fontId="0" fillId="0" borderId="0" pivotButton="0" quotePrefix="0" xfId="0"/>
    <xf numFmtId="10" fontId="0" fillId="3" borderId="0" pivotButton="0" quotePrefix="0" xfId="0"/>
    <xf numFmtId="0" fontId="8" fillId="0" borderId="0" pivotButton="0" quotePrefix="0" xfId="0"/>
    <xf numFmtId="4" fontId="8" fillId="0" borderId="0" pivotButton="0" quotePrefix="0" xfId="0"/>
    <xf numFmtId="10" fontId="8" fillId="0" borderId="0" pivotButton="0" quotePrefix="0" xfId="0"/>
    <xf numFmtId="0" fontId="9" fillId="0" borderId="0" pivotButton="0" quotePrefix="0" xfId="0"/>
    <xf numFmtId="2" fontId="0" fillId="0" borderId="0" pivotButton="0" quotePrefix="0" xfId="0"/>
    <xf numFmtId="10" fontId="0" fillId="0" borderId="0" pivotButton="0" quotePrefix="0" xfId="0"/>
    <xf numFmtId="0" fontId="9" fillId="0" borderId="0" applyAlignment="1" pivotButton="0" quotePrefix="0" xfId="0">
      <alignment vertical="top" wrapText="1"/>
    </xf>
    <xf numFmtId="2" fontId="0" fillId="3"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392B"/>
    <outlinePr summaryBelow="1" summaryRight="1"/>
    <pageSetUpPr/>
  </sheetPr>
  <dimension ref="A1:A19"/>
  <sheetViews>
    <sheetView showGridLines="0" workbookViewId="0">
      <pane ySplit="2" topLeftCell="A3" activePane="bottomLeft" state="frozen"/>
      <selection pane="bottomLeft" activeCell="A1" sqref="A1"/>
    </sheetView>
  </sheetViews>
  <sheetFormatPr baseColWidth="8" defaultRowHeight="15"/>
  <cols>
    <col width="110" customWidth="1" min="1" max="1"/>
  </cols>
  <sheetData>
    <row r="1" ht="30" customHeight="1">
      <c r="A1" s="1" t="inlineStr">
        <is>
          <t>PAE Portfolio Analytics — Spreadsheet Companion</t>
        </is>
      </c>
    </row>
    <row r="3" ht="22" customHeight="1">
      <c r="A3" s="2" t="inlineStr">
        <is>
          <t>What this is</t>
        </is>
      </c>
    </row>
    <row r="4" ht="52" customHeight="1">
      <c r="A4" s="3" t="inlineStr">
        <is>
          <t>A standalone educational companion to the PAE (Portfolio Analytics Engine) framework. It implements PAE's core analytics — risk metrics, factor attribution, scenario stress tests — as transparent spreadsheet formulas you can inspect, extend, and import into Google Sheets.</t>
        </is>
      </c>
    </row>
    <row r="6" ht="22" customHeight="1">
      <c r="A6" s="4" t="inlineStr">
        <is>
          <t>NO ZERO-KNOWLEDGE ENCRYPTION — READ THIS FIRST</t>
        </is>
      </c>
    </row>
    <row r="7" ht="52" customHeight="1">
      <c r="A7" s="3" t="inlineStr">
        <is>
          <t>Unlike the PAE application, this spreadsheet is NOT encrypted and provides NO zero-knowledge guarantees. Anything you type into this workbook (holdings, returns, notes) is stored in PLAIN TEXT inside this file. Do NOT enter passwords, account numbers, or any data you would not want readable by anyone who obtains this file.</t>
        </is>
      </c>
    </row>
    <row r="9" ht="22" customHeight="1">
      <c r="A9" s="2" t="inlineStr">
        <is>
          <t>Educational analytics only</t>
        </is>
      </c>
    </row>
    <row r="10" ht="52" customHeight="1">
      <c r="A10" s="3" t="inlineStr">
        <is>
          <t>This tool calculates; YOU decide. Nothing in this workbook is investment advice, and nothing here is a buy or sell recommendation. Past returns do not predict future results.</t>
        </is>
      </c>
    </row>
    <row r="12" ht="22" customHeight="1">
      <c r="A12" s="2" t="inlineStr">
        <is>
          <t>Sample data is fictional</t>
        </is>
      </c>
    </row>
    <row r="13" ht="52" customHeight="1">
      <c r="A13" s="3" t="inlineStr">
        <is>
          <t>All pre-filled holdings and returns are fictional SAMPLE data, clearly labeled as such. Replace them with your own figures before drawing any conclusions.</t>
        </is>
      </c>
    </row>
    <row r="15" ht="22" customHeight="1">
      <c r="A15" s="2" t="inlineStr">
        <is>
          <t>Formula provenance</t>
        </is>
      </c>
    </row>
    <row r="16" ht="52" customHeight="1">
      <c r="A16" s="3" t="inlineStr">
        <is>
          <t>Risk formulas implement engine/src/risk/metrics.rs. Stress shocks mirror engine/src/risk/stress.rs. The FACTORS sheet is a simplified attribution (exposure × factor return); the full OLS factor decomposition (betas, t-stats, R²) runs in the PAE Python engine at analytics/pae/models/factor.py.</t>
        </is>
      </c>
    </row>
    <row r="18" ht="22" customHeight="1">
      <c r="A18" s="2" t="inlineStr">
        <is>
          <t>Regeneration</t>
        </is>
      </c>
    </row>
    <row r="19" ht="52" customHeight="1">
      <c r="A19" s="3" t="inlineStr">
        <is>
          <t>Generated 2026-10-05 by tools/build_workbook.py (idempotent — safe to delete and regenerate at any time). Formulas use only Google-Sheets-compatible functions.</t>
        </is>
      </c>
    </row>
  </sheetData>
  <mergeCells count="1">
    <mergeCell ref="A1"/>
  </mergeCells>
  <pageMargins left="0.75" right="0.75" top="1" bottom="1" header="0.5" footer="0.5"/>
</worksheet>
</file>

<file path=xl/worksheets/sheet2.xml><?xml version="1.0" encoding="utf-8"?>
<ns0:worksheet xmlns:ns0="http://schemas.openxmlformats.org/spreadsheetml/2006/main">
  <ns0:sheetPr>
    <ns0:tabColor rgb="001F4E5F"/>
    <ns0:outlinePr summaryBelow="1" summaryRight="1"/>
    <ns0:pageSetUpPr/>
  </ns0:sheetPr>
  <ns0:dimension ref="A1:G14"/>
  <ns0:sheetViews>
    <ns0:sheetView workbookViewId="0">
      <ns0:pane ySplit="3" topLeftCell="A4" activePane="bottomLeft" state="frozen"/>
      <ns0:selection pane="bottomLeft" activeCell="A1" sqref="A1"/>
    </ns0:sheetView>
  </ns0:sheetViews>
  <ns0:sheetFormatPr baseColWidth="8" defaultRowHeight="15"/>
  <ns0:cols>
    <ns0:col width="10" customWidth="1" min="1" max="1"/>
    <ns0:col width="15" customWidth="1" min="2" max="2"/>
    <ns0:col width="12" customWidth="1" min="3" max="3"/>
    <ns0:col width="13" customWidth="1" min="4" max="4"/>
    <ns0:col width="17" customWidth="1" min="5" max="5"/>
    <ns0:col width="17" customWidth="1" min="6" max="6"/>
    <ns0:col width="10" customWidth="1" min="7" max="7"/>
  </ns0:cols>
  <ns0:sheetData>
    <ns0:row r="1" ht="28" customHeight="1">
      <ns0:c r="A1" s="5" t="inlineStr">
        <ns0:is>
          <ns0:t>Holdings — inputs (SAMPLE data)</ns0:t>
        </ns0:is>
      </ns0:c>
    </ns0:row>
    <ns0:row r="2" ht="30" customHeight="1">
      <ns0:c r="A2" s="6" t="inlineStr">
        <ns0:is>
          <ns0:t>Amber cells are inputs. Replace the sample holdings with your own. Market Value is calculated (Quantity × Price).</ns0:t>
        </ns0:is>
      </ns0:c>
    </ns0:row>
    <ns0:row r="3" ht="30" customHeight="1">
      <ns0:c r="A3" s="7" t="inlineStr">
        <ns0:is>
          <ns0:t>Symbol</ns0:t>
        </ns0:is>
      </ns0:c>
      <ns0:c r="B3" s="7" t="inlineStr">
        <ns0:is>
          <ns0:t>Asset Class</ns0:t>
        </ns0:is>
      </ns0:c>
      <ns0:c r="C3" s="7" t="inlineStr">
        <ns0:is>
          <ns0:t>Quantity</ns0:t>
        </ns0:is>
      </ns0:c>
      <ns0:c r="D3" s="7" t="inlineStr">
        <ns0:is>
          <ns0:t>Price (CAD)</ns0:t>
        </ns0:is>
      </ns0:c>
      <ns0:c r="E3" s="7" t="inlineStr">
        <ns0:is>
          <ns0:t>Market Value (CAD)</ns0:t>
        </ns0:is>
      </ns0:c>
      <ns0:c r="F3" s="7" t="inlineStr">
        <ns0:is>
          <ns0:t>Cost Basis (CAD)</ns0:t>
        </ns0:is>
      </ns0:c>
      <ns0:c r="G3" s="7" t="inlineStr">
        <ns0:is>
          <ns0:t>Yield %</ns0:t>
        </ns0:is>
      </ns0:c>
    </ns0:row>
    <ns0:row r="4">
      <ns0:c r="A4" t="inlineStr">
        <ns0:is>
          <ns0:t>RY</ns0:t>
        </ns0:is>
      </ns0:c>
      <ns0:c r="B4" t="inlineStr">
        <ns0:is>
          <ns0:t>Equity</ns0:t>
        </ns0:is>
      </ns0:c>
      <ns0:c r="C4" s="8" t="n">
        <ns0:v>100</ns0:v>
      </ns0:c>
      <ns0:c r="D4" s="9" t="n">
        <ns0:v>150</ns0:v>
      </ns0:c>
      <ns0:c r="E4" s="10">
        <ns0:f>C4*D4</ns0:f>
        <ns0:v>15000.0</ns0:v>
      </ns0:c>
      <ns0:c r="F4" s="9" t="n">
        <ns0:v>12000</ns0:v>
      </ns0:c>
      <ns0:c r="G4" s="11" t="n">
        <ns0:v>0.038</ns0:v>
      </ns0:c>
    </ns0:row>
    <ns0:row r="5">
      <ns0:c r="A5" t="inlineStr">
        <ns0:is>
          <ns0:t>VCN</ns0:t>
        </ns0:is>
      </ns0:c>
      <ns0:c r="B5" t="inlineStr">
        <ns0:is>
          <ns0:t>Equity</ns0:t>
        </ns0:is>
      </ns0:c>
      <ns0:c r="C5" s="8" t="n">
        <ns0:v>200</ns0:v>
      </ns0:c>
      <ns0:c r="D5" s="9" t="n">
        <ns0:v>45</ns0:v>
      </ns0:c>
      <ns0:c r="E5" s="10">
        <ns0:f>C5*D5</ns0:f>
        <ns0:v>9000.0</ns0:v>
      </ns0:c>
      <ns0:c r="F5" s="9" t="n">
        <ns0:v>8000</ns0:v>
      </ns0:c>
      <ns0:c r="G5" s="11" t="n">
        <ns0:v>0.029</ns0:v>
      </ns0:c>
    </ns0:row>
    <ns0:row r="6">
      <ns0:c r="A6" t="inlineStr">
        <ns0:is>
          <ns0:t>XEF</ns0:t>
        </ns0:is>
      </ns0:c>
      <ns0:c r="B6" t="inlineStr">
        <ns0:is>
          <ns0:t>Equity</ns0:t>
        </ns0:is>
      </ns0:c>
      <ns0:c r="C6" s="8" t="n">
        <ns0:v>150</ns0:v>
      </ns0:c>
      <ns0:c r="D6" s="9" t="n">
        <ns0:v>38.5</ns0:v>
      </ns0:c>
      <ns0:c r="E6" s="10">
        <ns0:f>C6*D6</ns0:f>
        <ns0:v>5775.0</ns0:v>
      </ns0:c>
      <ns0:c r="F6" s="9" t="n">
        <ns0:v>5200</ns0:v>
      </ns0:c>
      <ns0:c r="G6" s="11" t="n">
        <ns0:v>0.027</ns0:v>
      </ns0:c>
    </ns0:row>
    <ns0:row r="7">
      <ns0:c r="A7" t="inlineStr">
        <ns0:is>
          <ns0:t>VAB</ns0:t>
        </ns0:is>
      </ns0:c>
      <ns0:c r="B7" t="inlineStr">
        <ns0:is>
          <ns0:t>Fixed Income</ns0:t>
        </ns0:is>
      </ns0:c>
      <ns0:c r="C7" s="8" t="n">
        <ns0:v>300</ns0:v>
      </ns0:c>
      <ns0:c r="D7" s="9" t="n">
        <ns0:v>26</ns0:v>
      </ns0:c>
      <ns0:c r="E7" s="10">
        <ns0:f>C7*D7</ns0:f>
        <ns0:v>7800.0</ns0:v>
      </ns0:c>
      <ns0:c r="F7" s="9" t="n">
        <ns0:v>8100</ns0:v>
      </ns0:c>
      <ns0:c r="G7" s="11" t="n">
        <ns0:v>0.034</ns0:v>
      </ns0:c>
    </ns0:row>
    <ns0:row r="8">
      <ns0:c r="A8" t="inlineStr">
        <ns0:is>
          <ns0:t>ZPR</ns0:t>
        </ns0:is>
      </ns0:c>
      <ns0:c r="B8" t="inlineStr">
        <ns0:is>
          <ns0:t>Preferred</ns0:t>
        </ns0:is>
      </ns0:c>
      <ns0:c r="C8" s="8" t="n">
        <ns0:v>250</ns0:v>
      </ns0:c>
      <ns0:c r="D8" s="9" t="n">
        <ns0:v>10.5</ns0:v>
      </ns0:c>
      <ns0:c r="E8" s="10">
        <ns0:f>C8*D8</ns0:f>
        <ns0:v>2625.0</ns0:v>
      </ns0:c>
      <ns0:c r="F8" s="9" t="n">
        <ns0:v>2800</ns0:v>
      </ns0:c>
      <ns0:c r="G8" s="11" t="n">
        <ns0:v>0.051</ns0:v>
      </ns0:c>
    </ns0:row>
    <ns0:row r="9">
      <ns0:c r="A9" t="inlineStr">
        <ns0:is>
          <ns0:t>CASH</ns0:t>
        </ns0:is>
      </ns0:c>
      <ns0:c r="B9" t="inlineStr">
        <ns0:is>
          <ns0:t>Cash</ns0:t>
        </ns0:is>
      </ns0:c>
      <ns0:c r="C9" s="8" t="n">
        <ns0:v>1</ns0:v>
      </ns0:c>
      <ns0:c r="D9" s="9" t="n">
        <ns0:v>12000</ns0:v>
      </ns0:c>
      <ns0:c r="E9" s="10">
        <ns0:f>C9*D9</ns0:f>
        <ns0:v>12000.0</ns0:v>
      </ns0:c>
      <ns0:c r="F9" s="9" t="n">
        <ns0:v>12000</ns0:v>
      </ns0:c>
      <ns0:c r="G9" s="11" t="n">
        <ns0:v>0.045</ns0:v>
      </ns0:c>
    </ns0:row>
    <ns0:row r="10">
      <ns0:c r="A10" t="inlineStr">
        <ns0:is>
          <ns0:t>VRE</ns0:t>
        </ns0:is>
      </ns0:c>
      <ns0:c r="B10" t="inlineStr">
        <ns0:is>
          <ns0:t>Real Estate</ns0:t>
        </ns0:is>
      </ns0:c>
      <ns0:c r="C10" s="8" t="n">
        <ns0:v>180</ns0:v>
      </ns0:c>
      <ns0:c r="D10" s="9" t="n">
        <ns0:v>22</ns0:v>
      </ns0:c>
      <ns0:c r="E10" s="10">
        <ns0:f>C10*D10</ns0:f>
        <ns0:v>3960.0</ns0:v>
      </ns0:c>
      <ns0:c r="F10" s="9" t="n">
        <ns0:v>3600</ns0:v>
      </ns0:c>
      <ns0:c r="G10" s="11" t="n">
        <ns0:v>0.042</ns0:v>
      </ns0:c>
    </ns0:row>
    <ns0:row r="11">
      <ns0:c r="A11" t="inlineStr">
        <ns0:is>
          <ns0:t>CGL.C</ns0:t>
        </ns0:is>
      </ns0:c>
      <ns0:c r="B11" t="inlineStr">
        <ns0:is>
          <ns0:t>Commodity</ns0:t>
        </ns0:is>
      </ns0:c>
      <ns0:c r="C11" s="8" t="n">
        <ns0:v>120</ns0:v>
      </ns0:c>
      <ns0:c r="D11" s="9" t="n">
        <ns0:v>28</ns0:v>
      </ns0:c>
      <ns0:c r="E11" s="10">
        <ns0:f>C11*D11</ns0:f>
        <ns0:v>3360.0</ns0:v>
      </ns0:c>
      <ns0:c r="F11" s="9" t="n">
        <ns0:v>3000</ns0:v>
      </ns0:c>
      <ns0:c r="G11" s="11" t="n">
        <ns0:v>0</ns0:v>
      </ns0:c>
    </ns0:row>
    <ns0:row r="12">
      <ns0:c r="A12" s="12" t="inlineStr">
        <ns0:is>
          <ns0:t>TOTAL</ns0:t>
        </ns0:is>
      </ns0:c>
      <ns0:c r="E12" s="13">
        <ns0:f>SUM(E4:E11)</ns0:f>
        <ns0:v>59520.0</ns0:v>
      </ns0:c>
      <ns0:c r="F12" s="13">
        <ns0:f>SUM(F4:F11)</ns0:f>
        <ns0:v>54700.0</ns0:v>
      </ns0:c>
      <ns0:c r="G12" s="14">
        <ns0:f>SUMPRODUCT(E4:E11,G4:G11)/E12</ns0:f>
        <ns0:v>0.03515322580645162</ns0:v>
      </ns0:c>
    </ns0:row>
    <ns0:row r="14">
      <ns0:c r="A14" s="15" t="inlineStr">
        <ns0:is>
          <ns0:t>Note: asset-class names must match the SCENARIOS sheet exactly (Equity / Fixed Income / Commodity / Real Estate / Preferred / Cash).</ns0:t>
        </ns0:is>
      </ns0:c>
    </ns0:row>
  </ns0:sheetData>
  <ns0:mergeCells count="3">
    <ns0:mergeCell ref="A14:G14"/>
    <ns0:mergeCell ref="A2:G2"/>
    <ns0:mergeCell ref="A1:G1"/>
  </ns0:mergeCells>
  <ns0:pageMargins left="0.75" right="0.75" top="1" bottom="1" header="0.5" footer="0.5"/>
</ns0:worksheet>
</file>

<file path=xl/worksheets/sheet3.xml><?xml version="1.0" encoding="utf-8"?>
<ns0:worksheet xmlns:ns0="http://schemas.openxmlformats.org/spreadsheetml/2006/main">
  <ns0:sheetPr>
    <ns0:tabColor rgb="002980B9"/>
    <ns0:outlinePr summaryBelow="1" summaryRight="1"/>
    <ns0:pageSetUpPr/>
  </ns0:sheetPr>
  <ns0:dimension ref="A1:G29"/>
  <ns0:sheetViews>
    <ns0:sheetView workbookViewId="0">
      <ns0:pane ySplit="3" topLeftCell="A4" activePane="bottomLeft" state="frozen"/>
      <ns0:selection pane="bottomLeft" activeCell="A1" sqref="A1"/>
    </ns0:sheetView>
  </ns0:sheetViews>
  <ns0:sheetFormatPr baseColWidth="8" defaultRowHeight="15"/>
  <ns0:cols>
    <ns0:col width="8" customWidth="1" min="1" max="1"/>
    <ns0:col width="12" customWidth="1" min="2" max="2"/>
    <ns0:col width="12" customWidth="1" min="3" max="3"/>
    <ns0:col width="14" customWidth="1" min="4" max="4"/>
    <ns0:col width="14" customWidth="1" min="5" max="5"/>
    <ns0:col width="12" customWidth="1" min="6" max="6"/>
    <ns0:col width="15" customWidth="1" min="7" max="7"/>
  </ns0:cols>
  <ns0:sheetData>
    <ns0:row r="1" ht="28" customHeight="1">
      <ns0:c r="A1" s="5" t="inlineStr">
        <ns0:is>
          <ns0:t>Monthly portfolio returns — SAMPLE data</ns0:t>
        </ns0:is>
      </ns0:c>
    </ns0:row>
    <ns0:row r="2" ht="30" customHeight="1">
      <ns0:c r="A2" s="6" t="inlineStr">
        <ns0:is>
          <ns0:t>Fictional 24-month return series (Jan 2024 – Dec 2025). Columns D–G are calculation helpers for the RISK sheet. Replace column C with your own monthly returns.</ns0:t>
        </ns0:is>
      </ns0:c>
    </ns0:row>
    <ns0:row r="3" ht="30" customHeight="1">
      <ns0:c r="A3" s="7" t="inlineStr">
        <ns0:is>
          <ns0:t>Mo</ns0:t>
        </ns0:is>
      </ns0:c>
      <ns0:c r="B3" s="7" t="inlineStr">
        <ns0:is>
          <ns0:t>Date</ns0:t>
        </ns0:is>
      </ns0:c>
      <ns0:c r="C3" s="7" t="inlineStr">
        <ns0:is>
          <ns0:t>Return</ns0:t>
        </ns0:is>
      </ns0:c>
      <ns0:c r="D3" s="7" t="inlineStr">
        <ns0:is>
          <ns0:t>Wealth index</ns0:t>
        </ns0:is>
      </ns0:c>
      <ns0:c r="E3" s="7" t="inlineStr">
        <ns0:is>
          <ns0:t>Running peak</ns0:t>
        </ns0:is>
      </ns0:c>
      <ns0:c r="F3" s="7" t="inlineStr">
        <ns0:is>
          <ns0:t>Drawdown</ns0:t>
        </ns0:is>
      </ns0:c>
      <ns0:c r="G3" s="7" t="inlineStr">
        <ns0:is>
          <ns0:t>Sorted returns</ns0:t>
        </ns0:is>
      </ns0:c>
    </ns0:row>
    <ns0:row r="4">
      <ns0:c r="A4" t="n">
        <ns0:v>1</ns0:v>
      </ns0:c>
      <ns0:c r="B4" t="inlineStr">
        <ns0:is>
          <ns0:t>2024-01</ns0:t>
        </ns0:is>
      </ns0:c>
      <ns0:c r="C4" s="11" t="n">
        <ns0:v>0.021</ns0:v>
      </ns0:c>
      <ns0:c r="D4" s="16">
        <ns0:f>1*(1+C4)</ns0:f>
        <ns0:v>1.021</ns0:v>
      </ns0:c>
      <ns0:c r="E4" s="16">
        <ns0:f>D4</ns0:f>
        <ns0:v>1.021</ns0:v>
      </ns0:c>
      <ns0:c r="F4" s="17">
        <ns0:f>IF(E4=0,0,(E4-D4)/E4)</ns0:f>
        <ns0:v>0.0</ns0:v>
      </ns0:c>
      <ns0:c r="G4" s="17">
        <ns0:f>SMALL($C$4:$C$27,ROWS($G$4:G4))</ns0:f>
        <ns0:v>-0.038</ns0:v>
      </ns0:c>
    </ns0:row>
    <ns0:row r="5">
      <ns0:c r="A5" t="n">
        <ns0:v>2</ns0:v>
      </ns0:c>
      <ns0:c r="B5" t="inlineStr">
        <ns0:is>
          <ns0:t>2024-02</ns0:t>
        </ns0:is>
      </ns0:c>
      <ns0:c r="C5" s="11" t="n">
        <ns0:v>-0.014</ns0:v>
      </ns0:c>
      <ns0:c r="D5" s="16">
        <ns0:f>D4*(1+C5)</ns0:f>
        <ns0:v>1.0067059999999999</ns0:v>
      </ns0:c>
      <ns0:c r="E5" s="16">
        <ns0:f>MAX(E4,D5)</ns0:f>
        <ns0:v>1.021</ns0:v>
      </ns0:c>
      <ns0:c r="F5" s="17">
        <ns0:f>IF(E5=0,0,(E5-D5)/E5)</ns0:f>
        <ns0:v>0.01400000000000003</ns0:v>
      </ns0:c>
      <ns0:c r="G5" s="17">
        <ns0:f>SMALL($C$4:$C$27,ROWS($G$4:G5))</ns0:f>
        <ns0:v>-0.031</ns0:v>
      </ns0:c>
    </ns0:row>
    <ns0:row r="6">
      <ns0:c r="A6" t="n">
        <ns0:v>3</ns0:v>
      </ns0:c>
      <ns0:c r="B6" t="inlineStr">
        <ns0:is>
          <ns0:t>2024-03</ns0:t>
        </ns0:is>
      </ns0:c>
      <ns0:c r="C6" s="11" t="n">
        <ns0:v>0.032</ns0:v>
      </ns0:c>
      <ns0:c r="D6" s="16">
        <ns0:f>D5*(1+C6)</ns0:f>
        <ns0:v>1.038920592</ns0:v>
      </ns0:c>
      <ns0:c r="E6" s="16">
        <ns0:f>MAX(E5,D6)</ns0:f>
        <ns0:v>1.038920592</ns0:v>
      </ns0:c>
      <ns0:c r="F6" s="17">
        <ns0:f>IF(E6=0,0,(E6-D6)/E6)</ns0:f>
        <ns0:v>0.0</ns0:v>
      </ns0:c>
      <ns0:c r="G6" s="17">
        <ns0:f>SMALL($C$4:$C$27,ROWS($G$4:G6))</ns0:f>
        <ns0:v>-0.027</ns0:v>
      </ns0:c>
    </ns0:row>
    <ns0:row r="7">
      <ns0:c r="A7" t="n">
        <ns0:v>4</ns0:v>
      </ns0:c>
      <ns0:c r="B7" t="inlineStr">
        <ns0:is>
          <ns0:t>2024-04</ns0:t>
        </ns0:is>
      </ns0:c>
      <ns0:c r="C7" s="11" t="n">
        <ns0:v>0.008</ns0:v>
      </ns0:c>
      <ns0:c r="D7" s="16">
        <ns0:f>D6*(1+C7)</ns0:f>
        <ns0:v>1.047231956736</ns0:v>
      </ns0:c>
      <ns0:c r="E7" s="16">
        <ns0:f>MAX(E6,D7)</ns0:f>
        <ns0:v>1.047231956736</ns0:v>
      </ns0:c>
      <ns0:c r="F7" s="17">
        <ns0:f>IF(E7=0,0,(E7-D7)/E7)</ns0:f>
        <ns0:v>0.0</ns0:v>
      </ns0:c>
      <ns0:c r="G7" s="17">
        <ns0:f>SMALL($C$4:$C$27,ROWS($G$4:G7))</ns0:f>
        <ns0:v>-0.021</ns0:v>
      </ns0:c>
    </ns0:row>
    <ns0:row r="8">
      <ns0:c r="A8" t="n">
        <ns0:v>5</ns0:v>
      </ns0:c>
      <ns0:c r="B8" t="inlineStr">
        <ns0:is>
          <ns0:t>2024-05</ns0:t>
        </ns0:is>
      </ns0:c>
      <ns0:c r="C8" s="11" t="n">
        <ns0:v>-0.027</ns0:v>
      </ns0:c>
      <ns0:c r="D8" s="16">
        <ns0:f>D7*(1+C8)</ns0:f>
        <ns0:v>1.018956693904128</ns0:v>
      </ns0:c>
      <ns0:c r="E8" s="16">
        <ns0:f>MAX(E7,D8)</ns0:f>
        <ns0:v>1.047231956736</ns0:v>
      </ns0:c>
      <ns0:c r="F8" s="17">
        <ns0:f>IF(E8=0,0,(E8-D8)/E8)</ns0:f>
        <ns0:v>0.02700000000000009</ns0:v>
      </ns0:c>
      <ns0:c r="G8" s="17">
        <ns0:f>SMALL($C$4:$C$27,ROWS($G$4:G8))</ns0:f>
        <ns0:v>-0.014</ns0:v>
      </ns0:c>
    </ns0:row>
    <ns0:row r="9">
      <ns0:c r="A9" t="n">
        <ns0:v>6</ns0:v>
      </ns0:c>
      <ns0:c r="B9" t="inlineStr">
        <ns0:is>
          <ns0:t>2024-06</ns0:t>
        </ns0:is>
      </ns0:c>
      <ns0:c r="C9" s="11" t="n">
        <ns0:v>0.015</ns0:v>
      </ns0:c>
      <ns0:c r="D9" s="16">
        <ns0:f>D8*(1+C9)</ns0:f>
        <ns0:v>1.0342410443126897</ns0:v>
      </ns0:c>
      <ns0:c r="E9" s="16">
        <ns0:f>MAX(E8,D9)</ns0:f>
        <ns0:v>1.047231956736</ns0:v>
      </ns0:c>
      <ns0:c r="F9" s="17">
        <ns0:f>IF(E9=0,0,(E9-D9)/E9)</ns0:f>
        <ns0:v>0.012405000000000208</ns0:v>
      </ns0:c>
      <ns0:c r="G9" s="17">
        <ns0:f>SMALL($C$4:$C$27,ROWS($G$4:G9))</ns0:f>
        <ns0:v>-0.012</ns0:v>
      </ns0:c>
    </ns0:row>
    <ns0:row r="10">
      <ns0:c r="A10" t="n">
        <ns0:v>7</ns0:v>
      </ns0:c>
      <ns0:c r="B10" t="inlineStr">
        <ns0:is>
          <ns0:t>2024-07</ns0:t>
        </ns0:is>
      </ns0:c>
      <ns0:c r="C10" s="11" t="n">
        <ns0:v>0.044</ns0:v>
      </ns0:c>
      <ns0:c r="D10" s="16">
        <ns0:f>D9*(1+C10)</ns0:f>
        <ns0:v>1.0797476502624481</ns0:v>
      </ns0:c>
      <ns0:c r="E10" s="16">
        <ns0:f>MAX(E9,D10)</ns0:f>
        <ns0:v>1.0797476502624481</ns0:v>
      </ns0:c>
      <ns0:c r="F10" s="17">
        <ns0:f>IF(E10=0,0,(E10-D10)/E10)</ns0:f>
        <ns0:v>0.0</ns0:v>
      </ns0:c>
      <ns0:c r="G10" s="17">
        <ns0:f>SMALL($C$4:$C$27,ROWS($G$4:G10))</ns0:f>
        <ns0:v>-0.009</ns0:v>
      </ns0:c>
    </ns0:row>
    <ns0:row r="11">
      <ns0:c r="A11" t="n">
        <ns0:v>8</ns0:v>
      </ns0:c>
      <ns0:c r="B11" t="inlineStr">
        <ns0:is>
          <ns0:t>2024-08</ns0:t>
        </ns0:is>
      </ns0:c>
      <ns0:c r="C11" s="11" t="n">
        <ns0:v>-0.008999999999999999</ns0:v>
      </ns0:c>
      <ns0:c r="D11" s="16">
        <ns0:f>D10*(1+C11)</ns0:f>
        <ns0:v>1.0700299214100861</ns0:v>
      </ns0:c>
      <ns0:c r="E11" s="16">
        <ns0:f>MAX(E10,D11)</ns0:f>
        <ns0:v>1.0797476502624481</ns0:v>
      </ns0:c>
      <ns0:c r="F11" s="17">
        <ns0:f>IF(E11=0,0,(E11-D11)/E11)</ns0:f>
        <ns0:v>0.008999999999999965</ns0:v>
      </ns0:c>
      <ns0:c r="G11" s="17">
        <ns0:f>SMALL($C$4:$C$27,ROWS($G$4:G11))</ns0:f>
        <ns0:v>-0.005</ns0:v>
      </ns0:c>
    </ns0:row>
    <ns0:row r="12">
      <ns0:c r="A12" t="n">
        <ns0:v>9</ns0:v>
      </ns0:c>
      <ns0:c r="B12" t="inlineStr">
        <ns0:is>
          <ns0:t>2024-09</ns0:t>
        </ns0:is>
      </ns0:c>
      <ns0:c r="C12" s="11" t="n">
        <ns0:v>0.012</ns0:v>
      </ns0:c>
      <ns0:c r="D12" s="16">
        <ns0:f>D11*(1+C12)</ns0:f>
        <ns0:v>1.0828702804670072</ns0:v>
      </ns0:c>
      <ns0:c r="E12" s="16">
        <ns0:f>MAX(E11,D12)</ns0:f>
        <ns0:v>1.0828702804670072</ns0:v>
      </ns0:c>
      <ns0:c r="F12" s="17">
        <ns0:f>IF(E12=0,0,(E12-D12)/E12)</ns0:f>
        <ns0:v>0.0</ns0:v>
      </ns0:c>
      <ns0:c r="G12" s="17">
        <ns0:f>SMALL($C$4:$C$27,ROWS($G$4:G12))</ns0:f>
        <ns0:v>0.007</ns0:v>
      </ns0:c>
    </ns0:row>
    <ns0:row r="13">
      <ns0:c r="A13" t="n">
        <ns0:v>10</ns0:v>
      </ns0:c>
      <ns0:c r="B13" t="inlineStr">
        <ns0:is>
          <ns0:t>2024-10</ns0:t>
        </ns0:is>
      </ns0:c>
      <ns0:c r="C13" s="11" t="n">
        <ns0:v>-0.038</ns0:v>
      </ns0:c>
      <ns0:c r="D13" s="16">
        <ns0:f>D12*(1+C13)</ns0:f>
        <ns0:v>1.041721209809261</ns0:v>
      </ns0:c>
      <ns0:c r="E13" s="16">
        <ns0:f>MAX(E12,D13)</ns0:f>
        <ns0:v>1.0828702804670072</ns0:v>
      </ns0:c>
      <ns0:c r="F13" s="17">
        <ns0:f>IF(E13=0,0,(E13-D13)/E13)</ns0:f>
        <ns0:v>0.03799999999999994</ns0:v>
      </ns0:c>
      <ns0:c r="G13" s="17">
        <ns0:f>SMALL($C$4:$C$27,ROWS($G$4:G13))</ns0:f>
        <ns0:v>0.008</ns0:v>
      </ns0:c>
    </ns0:row>
    <ns0:row r="14">
      <ns0:c r="A14" t="n">
        <ns0:v>11</ns0:v>
      </ns0:c>
      <ns0:c r="B14" t="inlineStr">
        <ns0:is>
          <ns0:t>2024-11</ns0:t>
        </ns0:is>
      </ns0:c>
      <ns0:c r="C14" s="11" t="n">
        <ns0:v>0.025</ns0:v>
      </ns0:c>
      <ns0:c r="D14" s="16">
        <ns0:f>D13*(1+C14)</ns0:f>
        <ns0:v>1.0677642400544924</ns0:v>
      </ns0:c>
      <ns0:c r="E14" s="16">
        <ns0:f>MAX(E13,D14)</ns0:f>
        <ns0:v>1.0828702804670072</ns0:v>
      </ns0:c>
      <ns0:c r="F14" s="17">
        <ns0:f>IF(E14=0,0,(E14-D14)/E14)</ns0:f>
        <ns0:v>0.013949999999999983</ns0:v>
      </ns0:c>
      <ns0:c r="G14" s="17">
        <ns0:f>SMALL($C$4:$C$27,ROWS($G$4:G14))</ns0:f>
        <ns0:v>0.009</ns0:v>
      </ns0:c>
    </ns0:row>
    <ns0:row r="15">
      <ns0:c r="A15" t="n">
        <ns0:v>12</ns0:v>
      </ns0:c>
      <ns0:c r="B15" t="inlineStr">
        <ns0:is>
          <ns0:t>2024-12</ns0:t>
        </ns0:is>
      </ns0:c>
      <ns0:c r="C15" s="11" t="n">
        <ns0:v>0.018</ns0:v>
      </ns0:c>
      <ns0:c r="D15" s="16">
        <ns0:f>D14*(1+C15)</ns0:f>
        <ns0:v>1.0869839963754733</ns0:v>
      </ns0:c>
      <ns0:c r="E15" s="16">
        <ns0:f>MAX(E14,D15)</ns0:f>
        <ns0:v>1.0869839963754733</ns0:v>
      </ns0:c>
      <ns0:c r="F15" s="17">
        <ns0:f>IF(E15=0,0,(E15-D15)/E15)</ns0:f>
        <ns0:v>0.0</ns0:v>
      </ns0:c>
      <ns0:c r="G15" s="17">
        <ns0:f>SMALL($C$4:$C$27,ROWS($G$4:G15))</ns0:f>
        <ns0:v>0.011</ns0:v>
      </ns0:c>
    </ns0:row>
    <ns0:row r="16">
      <ns0:c r="A16" t="n">
        <ns0:v>13</ns0:v>
      </ns0:c>
      <ns0:c r="B16" t="inlineStr">
        <ns0:is>
          <ns0:t>2025-01</ns0:t>
        </ns0:is>
      </ns0:c>
      <ns0:c r="C16" s="11" t="n">
        <ns0:v>-0.012</ns0:v>
      </ns0:c>
      <ns0:c r="D16" s="16">
        <ns0:f>D15*(1+C16)</ns0:f>
        <ns0:v>1.0739401884189677</ns0:v>
      </ns0:c>
      <ns0:c r="E16" s="16">
        <ns0:f>MAX(E15,D16)</ns0:f>
        <ns0:v>1.0869839963754733</ns0:v>
      </ns0:c>
      <ns0:c r="F16" s="17">
        <ns0:f>IF(E16=0,0,(E16-D16)/E16)</ns0:f>
        <ns0:v>0.011999999999999941</ns0:v>
      </ns0:c>
      <ns0:c r="G16" s="17">
        <ns0:f>SMALL($C$4:$C$27,ROWS($G$4:G16))</ns0:f>
        <ns0:v>0.012</ns0:v>
      </ns0:c>
    </ns0:row>
    <ns0:row r="17">
      <ns0:c r="A17" t="n">
        <ns0:v>14</ns0:v>
      </ns0:c>
      <ns0:c r="B17" t="inlineStr">
        <ns0:is>
          <ns0:t>2025-02</ns0:t>
        </ns0:is>
      </ns0:c>
      <ns0:c r="C17" s="11" t="n">
        <ns0:v>0.029</ns0:v>
      </ns0:c>
      <ns0:c r="D17" s="16">
        <ns0:f>D16*(1+C17)</ns0:f>
        <ns0:v>1.1050844538831177</ns0:v>
      </ns0:c>
      <ns0:c r="E17" s="16">
        <ns0:f>MAX(E16,D17)</ns0:f>
        <ns0:v>1.1050844538831177</ns0:v>
      </ns0:c>
      <ns0:c r="F17" s="17">
        <ns0:f>IF(E17=0,0,(E17-D17)/E17)</ns0:f>
        <ns0:v>0.0</ns0:v>
      </ns0:c>
      <ns0:c r="G17" s="17">
        <ns0:f>SMALL($C$4:$C$27,ROWS($G$4:G17))</ns0:f>
        <ns0:v>0.014</ns0:v>
      </ns0:c>
    </ns0:row>
    <ns0:row r="18">
      <ns0:c r="A18" t="n">
        <ns0:v>15</ns0:v>
      </ns0:c>
      <ns0:c r="B18" t="inlineStr">
        <ns0:is>
          <ns0:t>2025-03</ns0:t>
        </ns0:is>
      </ns0:c>
      <ns0:c r="C18" s="11" t="n">
        <ns0:v>0.007</ns0:v>
      </ns0:c>
      <ns0:c r="D18" s="16">
        <ns0:f>D17*(1+C18)</ns0:f>
        <ns0:v>1.1128200450602994</ns0:v>
      </ns0:c>
      <ns0:c r="E18" s="16">
        <ns0:f>MAX(E17,D18)</ns0:f>
        <ns0:v>1.1128200450602994</ns0:v>
      </ns0:c>
      <ns0:c r="F18" s="17">
        <ns0:f>IF(E18=0,0,(E18-D18)/E18)</ns0:f>
        <ns0:v>0.0</ns0:v>
      </ns0:c>
      <ns0:c r="G18" s="17">
        <ns0:f>SMALL($C$4:$C$27,ROWS($G$4:G18))</ns0:f>
        <ns0:v>0.015</ns0:v>
      </ns0:c>
    </ns0:row>
    <ns0:row r="19">
      <ns0:c r="A19" t="n">
        <ns0:v>16</ns0:v>
      </ns0:c>
      <ns0:c r="B19" t="inlineStr">
        <ns0:is>
          <ns0:t>2025-04</ns0:t>
        </ns0:is>
      </ns0:c>
      <ns0:c r="C19" s="11" t="n">
        <ns0:v>-0.021</ns0:v>
      </ns0:c>
      <ns0:c r="D19" s="16">
        <ns0:f>D18*(1+C19)</ns0:f>
        <ns0:v>1.089450824114033</ns0:v>
      </ns0:c>
      <ns0:c r="E19" s="16">
        <ns0:f>MAX(E18,D19)</ns0:f>
        <ns0:v>1.1128200450602994</ns0:v>
      </ns0:c>
      <ns0:c r="F19" s="17">
        <ns0:f>IF(E19=0,0,(E19-D19)/E19)</ns0:f>
        <ns0:v>0.02100000000000007</ns0:v>
      </ns0:c>
      <ns0:c r="G19" s="17">
        <ns0:f>SMALL($C$4:$C$27,ROWS($G$4:G19))</ns0:f>
        <ns0:v>0.017</ns0:v>
      </ns0:c>
    </ns0:row>
    <ns0:row r="20">
      <ns0:c r="A20" t="n">
        <ns0:v>17</ns0:v>
      </ns0:c>
      <ns0:c r="B20" t="inlineStr">
        <ns0:is>
          <ns0:t>2025-05</ns0:t>
        </ns0:is>
      </ns0:c>
      <ns0:c r="C20" s="11" t="n">
        <ns0:v>0.036</ns0:v>
      </ns0:c>
      <ns0:c r="D20" s="16">
        <ns0:f>D19*(1+C20)</ns0:f>
        <ns0:v>1.1286710537821383</ns0:v>
      </ns0:c>
      <ns0:c r="E20" s="16">
        <ns0:f>MAX(E19,D20)</ns0:f>
        <ns0:v>1.1286710537821383</ns0:v>
      </ns0:c>
      <ns0:c r="F20" s="17">
        <ns0:f>IF(E20=0,0,(E20-D20)/E20)</ns0:f>
        <ns0:v>0.0</ns0:v>
      </ns0:c>
      <ns0:c r="G20" s="17">
        <ns0:f>SMALL($C$4:$C$27,ROWS($G$4:G20))</ns0:f>
        <ns0:v>0.018</ns0:v>
      </ns0:c>
    </ns0:row>
    <ns0:row r="21">
      <ns0:c r="A21" t="n">
        <ns0:v>18</ns0:v>
      </ns0:c>
      <ns0:c r="B21" t="inlineStr">
        <ns0:is>
          <ns0:t>2025-06</ns0:t>
        </ns0:is>
      </ns0:c>
      <ns0:c r="C21" s="11" t="n">
        <ns0:v>0.011</ns0:v>
      </ns0:c>
      <ns0:c r="D21" s="16">
        <ns0:f>D20*(1+C21)</ns0:f>
        <ns0:v>1.1410864353737418</ns0:v>
      </ns0:c>
      <ns0:c r="E21" s="16">
        <ns0:f>MAX(E20,D21)</ns0:f>
        <ns0:v>1.1410864353737418</ns0:v>
      </ns0:c>
      <ns0:c r="F21" s="17">
        <ns0:f>IF(E21=0,0,(E21-D21)/E21)</ns0:f>
        <ns0:v>0.0</ns0:v>
      </ns0:c>
      <ns0:c r="G21" s="17">
        <ns0:f>SMALL($C$4:$C$27,ROWS($G$4:G21))</ns0:f>
        <ns0:v>0.021</ns0:v>
      </ns0:c>
    </ns0:row>
    <ns0:row r="22">
      <ns0:c r="A22" t="n">
        <ns0:v>19</ns0:v>
      </ns0:c>
      <ns0:c r="B22" t="inlineStr">
        <ns0:is>
          <ns0:t>2025-07</ns0:t>
        </ns0:is>
      </ns0:c>
      <ns0:c r="C22" s="11" t="n">
        <ns0:v>-0.005</ns0:v>
      </ns0:c>
      <ns0:c r="D22" s="16">
        <ns0:f>D21*(1+C22)</ns0:f>
        <ns0:v>1.135381003196873</ns0:v>
      </ns0:c>
      <ns0:c r="E22" s="16">
        <ns0:f>MAX(E21,D22)</ns0:f>
        <ns0:v>1.1410864353737418</ns0:v>
      </ns0:c>
      <ns0:c r="F22" s="17">
        <ns0:f>IF(E22=0,0,(E22-D22)/E22)</ns0:f>
        <ns0:v>0.005000000000000087</ns0:v>
      </ns0:c>
      <ns0:c r="G22" s="17">
        <ns0:f>SMALL($C$4:$C$27,ROWS($G$4:G22))</ns0:f>
        <ns0:v>0.023</ns0:v>
      </ns0:c>
    </ns0:row>
    <ns0:row r="23">
      <ns0:c r="A23" t="n">
        <ns0:v>20</ns0:v>
      </ns0:c>
      <ns0:c r="B23" t="inlineStr">
        <ns0:is>
          <ns0:t>2025-08</ns0:t>
        </ns0:is>
      </ns0:c>
      <ns0:c r="C23" s="11" t="n">
        <ns0:v>0.023</ns0:v>
      </ns0:c>
      <ns0:c r="D23" s="16">
        <ns0:f>D22*(1+C23)</ns0:f>
        <ns0:v>1.161494766270401</ns0:v>
      </ns0:c>
      <ns0:c r="E23" s="16">
        <ns0:f>MAX(E22,D23)</ns0:f>
        <ns0:v>1.161494766270401</ns0:v>
      </ns0:c>
      <ns0:c r="F23" s="17">
        <ns0:f>IF(E23=0,0,(E23-D23)/E23)</ns0:f>
        <ns0:v>0.0</ns0:v>
      </ns0:c>
      <ns0:c r="G23" s="17">
        <ns0:f>SMALL($C$4:$C$27,ROWS($G$4:G23))</ns0:f>
        <ns0:v>0.025</ns0:v>
      </ns0:c>
    </ns0:row>
    <ns0:row r="24">
      <ns0:c r="A24" t="n">
        <ns0:v>21</ns0:v>
      </ns0:c>
      <ns0:c r="B24" t="inlineStr">
        <ns0:is>
          <ns0:t>2025-09</ns0:t>
        </ns0:is>
      </ns0:c>
      <ns0:c r="C24" s="11" t="n">
        <ns0:v>-0.031</ns0:v>
      </ns0:c>
      <ns0:c r="D24" s="16">
        <ns0:f>D23*(1+C24)</ns0:f>
        <ns0:v>1.1254884285160185</ns0:v>
      </ns0:c>
      <ns0:c r="E24" s="16">
        <ns0:f>MAX(E23,D24)</ns0:f>
        <ns0:v>1.161494766270401</ns0:v>
      </ns0:c>
      <ns0:c r="F24" s="17">
        <ns0:f>IF(E24=0,0,(E24-D24)/E24)</ns0:f>
        <ns0:v>0.031000000000000014</ns0:v>
      </ns0:c>
      <ns0:c r="G24" s="17">
        <ns0:f>SMALL($C$4:$C$27,ROWS($G$4:G24))</ns0:f>
        <ns0:v>0.029</ns0:v>
      </ns0:c>
    </ns0:row>
    <ns0:row r="25">
      <ns0:c r="A25" t="n">
        <ns0:v>22</ns0:v>
      </ns0:c>
      <ns0:c r="B25" t="inlineStr">
        <ns0:is>
          <ns0:t>2025-10</ns0:t>
        </ns0:is>
      </ns0:c>
      <ns0:c r="C25" s="11" t="n">
        <ns0:v>0.017</ns0:v>
      </ns0:c>
      <ns0:c r="D25" s="16">
        <ns0:f>D24*(1+C25)</ns0:f>
        <ns0:v>1.1446217318007907</ns0:v>
      </ns0:c>
      <ns0:c r="E25" s="16">
        <ns0:f>MAX(E24,D25)</ns0:f>
        <ns0:v>1.161494766270401</ns0:v>
      </ns0:c>
      <ns0:c r="F25" s="17">
        <ns0:f>IF(E25=0,0,(E25-D25)/E25)</ns0:f>
        <ns0:v>0.014527000000000068</ns0:v>
      </ns0:c>
      <ns0:c r="G25" s="17">
        <ns0:f>SMALL($C$4:$C$27,ROWS($G$4:G25))</ns0:f>
        <ns0:v>0.032</ns0:v>
      </ns0:c>
    </ns0:row>
    <ns0:row r="26">
      <ns0:c r="A26" t="n">
        <ns0:v>23</ns0:v>
      </ns0:c>
      <ns0:c r="B26" t="inlineStr">
        <ns0:is>
          <ns0:t>2025-11</ns0:t>
        </ns0:is>
      </ns0:c>
      <ns0:c r="C26" s="11" t="n">
        <ns0:v>0.008999999999999999</ns0:v>
      </ns0:c>
      <ns0:c r="D26" s="16">
        <ns0:f>D25*(1+C26)</ns0:f>
        <ns0:v>1.1549233273869977</ns0:v>
      </ns0:c>
      <ns0:c r="E26" s="16">
        <ns0:f>MAX(E25,D26)</ns0:f>
        <ns0:v>1.161494766270401</ns0:v>
      </ns0:c>
      <ns0:c r="F26" s="17">
        <ns0:f>IF(E26=0,0,(E26-D26)/E26)</ns0:f>
        <ns0:v>0.0056577430000002435</ns0:v>
      </ns0:c>
      <ns0:c r="G26" s="17">
        <ns0:f>SMALL($C$4:$C$27,ROWS($G$4:G26))</ns0:f>
        <ns0:v>0.036</ns0:v>
      </ns0:c>
    </ns0:row>
    <ns0:row r="27">
      <ns0:c r="A27" t="n">
        <ns0:v>24</ns0:v>
      </ns0:c>
      <ns0:c r="B27" t="inlineStr">
        <ns0:is>
          <ns0:t>2025-12</ns0:t>
        </ns0:is>
      </ns0:c>
      <ns0:c r="C27" s="11" t="n">
        <ns0:v>0.014</ns0:v>
      </ns0:c>
      <ns0:c r="D27" s="16">
        <ns0:f>D26*(1+C27)</ns0:f>
        <ns0:v>1.1710922539704156</ns0:v>
      </ns0:c>
      <ns0:c r="E27" s="16">
        <ns0:f>MAX(E26,D27)</ns0:f>
        <ns0:v>1.1710922539704156</ns0:v>
      </ns0:c>
      <ns0:c r="F27" s="17">
        <ns0:f>IF(E27=0,0,(E27-D27)/E27)</ns0:f>
        <ns0:v>0.0</ns0:v>
      </ns0:c>
      <ns0:c r="G27" s="17">
        <ns0:f>SMALL($C$4:$C$27,ROWS($G$4:G27))</ns0:f>
        <ns0:v>0.044</ns0:v>
      </ns0:c>
    </ns0:row>
    <ns0:row r="29" ht="44" customHeight="1">
      <ns0:c r="A29" s="18" t="inlineStr">
        <ns0:is>
          <ns0:t>Helpers: Wealth compounds (1+r). Peak is the running maximum of Wealth. Drawdown = (Peak − Wealth)/Peak. Sorted returns feed the rank-based VaR/CVaR (PAE engine definition: NOT interpolated).</ns0:t>
        </ns0:is>
      </ns0:c>
    </ns0:row>
  </ns0:sheetData>
  <ns0:mergeCells count="3">
    <ns0:mergeCell ref="A2:G2"/>
    <ns0:mergeCell ref="A1:G1"/>
    <ns0:mergeCell ref="A29:G29"/>
  </ns0:mergeCells>
  <ns0:pageMargins left="0.75" right="0.75" top="1" bottom="1" header="0.5" footer="0.5"/>
</ns0:worksheet>
</file>

<file path=xl/worksheets/sheet4.xml><?xml version="1.0" encoding="utf-8"?>
<ns0:worksheet xmlns:ns0="http://schemas.openxmlformats.org/spreadsheetml/2006/main">
  <ns0:sheetPr>
    <ns0:tabColor rgb="008E44AD"/>
    <ns0:outlinePr summaryBelow="1" summaryRight="1"/>
    <ns0:pageSetUpPr/>
  </ns0:sheetPr>
  <ns0:dimension ref="A1:C15"/>
  <ns0:sheetViews>
    <ns0:sheetView workbookViewId="0">
      <ns0:pane ySplit="4" topLeftCell="A5" activePane="bottomLeft" state="frozen"/>
      <ns0:selection pane="bottomLeft" activeCell="A1" sqref="A1"/>
    </ns0:sheetView>
  </ns0:sheetViews>
  <ns0:sheetFormatPr baseColWidth="8" defaultRowHeight="15"/>
  <ns0:cols>
    <ns0:col width="26" customWidth="1" min="1" max="1"/>
    <ns0:col width="18" customWidth="1" min="2" max="2"/>
    <ns0:col width="62" customWidth="1" min="3" max="3"/>
  </ns0:cols>
  <ns0:sheetData>
    <ns0:row r="1" ht="28" customHeight="1">
      <ns0:c r="A1" s="5" t="inlineStr">
        <ns0:is>
          <ns0:t>Risk metrics</ns0:t>
        </ns0:is>
      </ns0:c>
    </ns0:row>
    <ns0:row r="2" ht="30" customHeight="1">
      <ns0:c r="A2" s="6" t="inlineStr">
        <ns0:is>
          <ns0:t>Implements engine/src/risk/metrics.rs as spreadsheet formulas over RETURNS!C4:C27. Sharpe/Sortino use the PAE engine definitions (monthly excess return over monthly volatility/downside deviation).</ns0:t>
        </ns0:is>
      </ns0:c>
    </ns0:row>
    <ns0:row r="3">
      <ns0:c r="A3" s="12" t="inlineStr">
        <ns0:is>
          <ns0:t>Risk-free rate (annual)</ns0:t>
        </ns0:is>
      </ns0:c>
      <ns0:c r="B3" s="11" t="n">
        <ns0:v>0.04</ns0:v>
      </ns0:c>
      <ns0:c r="C3" s="15" t="inlineStr">
        <ns0:is>
          <ns0:t>Input cell for the risk-free rate.</ns0:t>
        </ns0:is>
      </ns0:c>
    </ns0:row>
    <ns0:row r="4" ht="30" customHeight="1">
      <ns0:c r="A4" s="7" t="inlineStr">
        <ns0:is>
          <ns0:t>Metric</ns0:t>
        </ns0:is>
      </ns0:c>
      <ns0:c r="B4" s="7" t="inlineStr">
        <ns0:is>
          <ns0:t>Value</ns0:t>
        </ns0:is>
      </ns0:c>
      <ns0:c r="C4" s="7" t="inlineStr">
        <ns0:is>
          <ns0:t>Definition (PAE engine)</ns0:t>
        </ns0:is>
      </ns0:c>
    </ns0:row>
    <ns0:row r="5" ht="30" customHeight="1">
      <ns0:c r="A5" s="12" t="inlineStr">
        <ns0:is>
          <ns0:t>Monthly volatility</ns0:t>
        </ns0:is>
      </ns0:c>
      <ns0:c r="B5" s="17">
        <ns0:f>STDEV(RETURNS!C4:C27)</ns0:f>
        <ns0:v>0.02195383826333686</ns0:v>
      </ns0:c>
      <ns0:c r="C5" s="18" t="inlineStr">
        <ns0:is>
          <ns0:t>STDEV.S equivalent — sample stdev (Bessel N−1), metrics.rs volatility()</ns0:t>
        </ns0:is>
      </ns0:c>
    </ns0:row>
    <ns0:row r="6" ht="30" customHeight="1">
      <ns0:c r="A6" s="12" t="inlineStr">
        <ns0:is>
          <ns0:t>Annualized volatility</ns0:t>
        </ns0:is>
      </ns0:c>
      <ns0:c r="B6" s="17">
        <ns0:f>B5*SQRT(12)</ns0:f>
        <ns0:v>0.07605032658649824</ns0:v>
      </ns0:c>
      <ns0:c r="C6" s="18" t="inlineStr">
        <ns0:is>
          <ns0:t>Monthly vol × √12</ns0:t>
        </ns0:is>
      </ns0:c>
    </ns0:row>
    <ns0:row r="7" ht="30" customHeight="1">
      <ns0:c r="A7" s="12" t="inlineStr">
        <ns0:is>
          <ns0:t>Mean monthly return</ns0:t>
        </ns0:is>
      </ns0:c>
      <ns0:c r="B7" s="17">
        <ns0:f>AVERAGE(RETURNS!C4:C27)</ns0:f>
        <ns0:v>0.006833333333333334</ns0:v>
      </ns0:c>
      <ns0:c r="C7" s="18" t="inlineStr">
        <ns0:is>
          <ns0:t>Arithmetic mean of monthly returns</ns0:t>
        </ns0:is>
      </ns0:c>
    </ns0:row>
    <ns0:row r="8" ht="30" customHeight="1">
      <ns0:c r="A8" s="12" t="inlineStr">
        <ns0:is>
          <ns0:t>Sharpe ratio</ns0:t>
        </ns0:is>
      </ns0:c>
      <ns0:c r="B8" s="16">
        <ns0:f>IF(B5=0,0,(B7-$B$3/12)/B5)</ns0:f>
        <ns0:v>0.15942542520434966</ns0:v>
      </ns0:c>
      <ns0:c r="C8" s="18" t="inlineStr">
        <ns0:is>
          <ns0:t>metrics.rs sharpe_ratio(): (mean − rf/12) / vol — monthly, NOT annualized</ns0:t>
        </ns0:is>
      </ns0:c>
    </ns0:row>
    <ns0:row r="9" ht="30" customHeight="1">
      <ns0:c r="A9" s="12" t="inlineStr">
        <ns0:is>
          <ns0:t>Downside deviation</ns0:t>
        </ns0:is>
      </ns0:c>
      <ns0:c r="B9" s="17">
        <ns0:f>SQRT(SUMPRODUCT((RETURNS!C4:C27&lt;$B$3/12)*(RETURNS!C4:C27-$B$3/12)^2)/COUNTIF(RETURNS!C4:C27,"&lt;"&amp;$B$3/12))</ns0:f>
        <ns0:v>0.02538837222912183</ns0:v>
      </ns0:c>
      <ns0:c r="C9" s="18" t="inlineStr">
        <ns0:is>
          <ns0:t>RMS of (r − rf/12) over months BELOW rf/12 only — metrics.rs sortino_ratio()</ns0:t>
        </ns0:is>
      </ns0:c>
    </ns0:row>
    <ns0:row r="10" ht="30" customHeight="1">
      <ns0:c r="A10" s="12" t="inlineStr">
        <ns0:is>
          <ns0:t>Sortino ratio</ns0:t>
        </ns0:is>
      </ns0:c>
      <ns0:c r="B10" s="16">
        <ns0:f>IF(COUNTIF(RETURNS!C4:C27,"&lt;"&amp;$B$3/12)=0,0,(B7-$B$3/12)/B9)</ns0:f>
        <ns0:v>0.13785838526446811</ns0:v>
      </ns0:c>
      <ns0:c r="C10" s="18" t="inlineStr">
        <ns0:is>
          <ns0:t>metrics.rs sortino_ratio(): (mean − rf/12) / downside dev; 0 if no downside months</ns0:t>
        </ns0:is>
      </ns0:c>
    </ns0:row>
    <ns0:row r="11" ht="30" customHeight="1">
      <ns0:c r="A11" s="12" t="inlineStr">
        <ns0:is>
          <ns0:t>Max drawdown</ns0:t>
        </ns0:is>
      </ns0:c>
      <ns0:c r="B11" s="17">
        <ns0:f>MAX(RETURNS!F4:F27)</ns0:f>
        <ns0:v>0.03799999999999994</ns0:v>
      </ns0:c>
      <ns0:c r="C11" s="18" t="inlineStr">
        <ns0:is>
          <ns0:t>Largest peak-to-trough fall of the wealth index — metrics.rs max_drawdown()</ns0:t>
        </ns0:is>
      </ns0:c>
    </ns0:row>
    <ns0:row r="12" ht="30" customHeight="1">
      <ns0:c r="A12" s="12" t="inlineStr">
        <ns0:is>
          <ns0:t>VaR 95% (monthly)</ns0:t>
        </ns0:is>
      </ns0:c>
      <ns0:c r="B12" s="17">
        <ns0:f>-INDEX(RETURNS!G4:G27,INT(0.05*COUNT(RETURNS!C4:C27))+1)</ns0:f>
        <ns0:v>0.031</ns0:v>
      </ns0:c>
      <ns0:c r="C12" s="18" t="inlineStr">
        <ns0:is>
          <ns0:t>metrics.rs value_at_risk(): rank-based −sorted[⌊0.05·n⌋]; NOT the interpolated PERCENTILE — reported as positive loss</ns0:t>
        </ns0:is>
      </ns0:c>
    </ns0:row>
    <ns0:row r="13" ht="30" customHeight="1">
      <ns0:c r="A13" s="12" t="inlineStr">
        <ns0:is>
          <ns0:t>CVaR 95% (monthly)</ns0:t>
        </ns0:is>
      </ns0:c>
      <ns0:c r="B13" s="17">
        <ns0:f>-AVERAGE(INDEX(RETURNS!G4:G27,2):INDEX(RETURNS!G4:G27,1+MAX(1,INT(0.05*COUNT(RETURNS!C4:C27)))))</ns0:f>
        <ns0:v>0.038</ns0:v>
      </ns0:c>
      <ns0:c r="C13" s="18" t="inlineStr">
        <ns0:is>
          <ns0:t>metrics.rs conditional_var(): mean loss beyond the VaR rank, positive</ns0:t>
        </ns0:is>
      </ns0:c>
    </ns0:row>
    <ns0:row r="14" ht="30" customHeight="1">
      <ns0:c r="A14" s="12" t="inlineStr">
        <ns0:is>
          <ns0:t>Total return (24 mo)</ns0:t>
        </ns0:is>
      </ns0:c>
      <ns0:c r="B14" s="17">
        <ns0:f>INDEX(RETURNS!D4:D27,COUNT(RETURNS!C4:C27))-1</ns0:f>
        <ns0:v>0.1710922539704156</ns0:v>
      </ns0:c>
      <ns0:c r="C14" s="18" t="inlineStr">
        <ns0:is>
          <ns0:t>Compounded: ∏(1+r) − 1 — metrics.rs total_return()</ns0:t>
        </ns0:is>
      </ns0:c>
    </ns0:row>
    <ns0:row r="15" ht="30" customHeight="1">
      <ns0:c r="A15" s="12" t="inlineStr">
        <ns0:is>
          <ns0:t>Annualized return</ns0:t>
        </ns0:is>
      </ns0:c>
      <ns0:c r="B15" s="17">
        <ns0:f>(1+B14)^(12/COUNT(RETURNS!C4:C27))-1</ns0:f>
        <ns0:v>0.08217015943446504</ns0:v>
      </ns0:c>
      <ns0:c r="C15" s="18" t="inlineStr">
        <ns0:is>
          <ns0:t>(1+total)^(12/n) − 1 — metrics.rs annualized_return()</ns0:t>
        </ns0:is>
      </ns0:c>
    </ns0:row>
  </ns0:sheetData>
  <ns0:mergeCells count="2">
    <ns0:mergeCell ref="A1:C1"/>
    <ns0:mergeCell ref="A2:C2"/>
  </ns0:mergeCells>
  <ns0:pageMargins left="0.75" right="0.75" top="1" bottom="1" header="0.5" footer="0.5"/>
</ns0:worksheet>
</file>

<file path=xl/worksheets/sheet5.xml><?xml version="1.0" encoding="utf-8"?>
<ns0:worksheet xmlns:ns0="http://schemas.openxmlformats.org/spreadsheetml/2006/main">
  <ns0:sheetPr>
    <ns0:tabColor rgb="0016A085"/>
    <ns0:outlinePr summaryBelow="1" summaryRight="1"/>
    <ns0:pageSetUpPr/>
  </ns0:sheetPr>
  <ns0:dimension ref="A1:D12"/>
  <ns0:sheetViews>
    <ns0:sheetView workbookViewId="0">
      <ns0:pane ySplit="3" topLeftCell="A4" activePane="bottomLeft" state="frozen"/>
      <ns0:selection pane="bottomLeft" activeCell="A1" sqref="A1"/>
    </ns0:sheetView>
  </ns0:sheetViews>
  <ns0:sheetFormatPr baseColWidth="8" defaultRowHeight="15"/>
  <ns0:cols>
    <ns0:col width="16" customWidth="1" min="1" max="1"/>
    <ns0:col width="16" customWidth="1" min="2" max="2"/>
    <ns0:col width="22" customWidth="1" min="3" max="3"/>
    <ns0:col width="18" customWidth="1" min="4" max="4"/>
  </ns0:cols>
  <ns0:sheetData>
    <ns0:row r="1" ht="28" customHeight="1">
      <ns0:c r="A1" s="5" t="inlineStr">
        <ns0:is>
          <ns0:t>Factor attribution (simplified)</ns0:t>
        </ns0:is>
      </ns0:c>
    </ns0:row>
    <ns0:row r="2" ht="30" customHeight="1">
      <ns0:c r="A2" s="6" t="inlineStr">
        <ns0:is>
          <ns0:t>Contribution = exposure × factor return. Exposures and factor returns are MANUAL inputs (amber). The full OLS regression (betas, t-stats, R², variance decomposition) runs in the PAE Python engine: analytics/pae/models/factor.py.</ns0:t>
        </ns0:is>
      </ns0:c>
    </ns0:row>
    <ns0:row r="3" ht="30" customHeight="1">
      <ns0:c r="A3" s="7" t="inlineStr">
        <ns0:is>
          <ns0:t>Factor</ns0:t>
        </ns0:is>
      </ns0:c>
      <ns0:c r="B3" s="7" t="inlineStr">
        <ns0:is>
          <ns0:t>Exposure β</ns0:t>
        </ns0:is>
      </ns0:c>
      <ns0:c r="C3" s="7" t="inlineStr">
        <ns0:is>
          <ns0:t>Factor return (annual)</ns0:t>
        </ns0:is>
      </ns0:c>
      <ns0:c r="D3" s="7" t="inlineStr">
        <ns0:is>
          <ns0:t>Contribution</ns0:t>
        </ns0:is>
      </ns0:c>
    </ns0:row>
    <ns0:row r="4">
      <ns0:c r="A4" t="inlineStr">
        <ns0:is>
          <ns0:t>Market</ns0:t>
        </ns0:is>
      </ns0:c>
      <ns0:c r="B4" s="19" t="n">
        <ns0:v>0.95</ns0:v>
      </ns0:c>
      <ns0:c r="C4" s="11" t="n">
        <ns0:v>0.08</ns0:v>
      </ns0:c>
      <ns0:c r="D4" s="17">
        <ns0:f>B4*C4</ns0:f>
        <ns0:v>0.076</ns0:v>
      </ns0:c>
    </ns0:row>
    <ns0:row r="5">
      <ns0:c r="A5" t="inlineStr">
        <ns0:is>
          <ns0:t>Size</ns0:t>
        </ns0:is>
      </ns0:c>
      <ns0:c r="B5" s="19" t="n">
        <ns0:v>0.2</ns0:v>
      </ns0:c>
      <ns0:c r="C5" s="11" t="n">
        <ns0:v>0.02</ns0:v>
      </ns0:c>
      <ns0:c r="D5" s="17">
        <ns0:f>B5*C5</ns0:f>
        <ns0:v>0.004</ns0:v>
      </ns0:c>
    </ns0:row>
    <ns0:row r="6">
      <ns0:c r="A6" t="inlineStr">
        <ns0:is>
          <ns0:t>Value</ns0:t>
        </ns0:is>
      </ns0:c>
      <ns0:c r="B6" s="19" t="n">
        <ns0:v>0.35</ns0:v>
      </ns0:c>
      <ns0:c r="C6" s="11" t="n">
        <ns0:v>0.035</ns0:v>
      </ns0:c>
      <ns0:c r="D6" s="17">
        <ns0:f>B6*C6</ns0:f>
        <ns0:v>0.01225</ns0:v>
      </ns0:c>
    </ns0:row>
    <ns0:row r="7">
      <ns0:c r="A7" t="inlineStr">
        <ns0:is>
          <ns0:t>Momentum</ns0:t>
        </ns0:is>
      </ns0:c>
      <ns0:c r="B7" s="19" t="n">
        <ns0:v>-0.1</ns0:v>
      </ns0:c>
      <ns0:c r="C7" s="11" t="n">
        <ns0:v>0.04</ns0:v>
      </ns0:c>
      <ns0:c r="D7" s="17">
        <ns0:f>B7*C7</ns0:f>
        <ns0:v>-0.004</ns0:v>
      </ns0:c>
    </ns0:row>
    <ns0:row r="8">
      <ns0:c r="A8" t="inlineStr">
        <ns0:is>
          <ns0:t>Quality</ns0:t>
        </ns0:is>
      </ns0:c>
      <ns0:c r="B8" s="19" t="n">
        <ns0:v>0.25</ns0:v>
      </ns0:c>
      <ns0:c r="C8" s="11" t="n">
        <ns0:v>0.025</ns0:v>
      </ns0:c>
      <ns0:c r="D8" s="17">
        <ns0:f>B8*C8</ns0:f>
        <ns0:v>0.00625</ns0:v>
      </ns0:c>
    </ns0:row>
    <ns0:row r="9">
      <ns0:c r="A9" t="inlineStr">
        <ns0:is>
          <ns0:t>Alpha (manual residual)</ns0:t>
        </ns0:is>
      </ns0:c>
      <ns0:c r="B9" s="11" t="n">
        <ns0:v>0.005</ns0:v>
      </ns0:c>
      <ns0:c r="C9" t="inlineStr">
        <ns0:is>
          <ns0:t>—</ns0:t>
        </ns0:is>
      </ns0:c>
      <ns0:c r="D9" s="17">
        <ns0:f>B9</ns0:f>
        <ns0:v>0.005</ns0:v>
      </ns0:c>
    </ns0:row>
    <ns0:row r="10">
      <ns0:c r="A10" s="12" t="inlineStr">
        <ns0:is>
          <ns0:t>TOTAL explained</ns0:t>
        </ns0:is>
      </ns0:c>
      <ns0:c r="D10" s="14">
        <ns0:f>SUM(D4:D9)</ns0:f>
        <ns0:v>0.0995</ns0:v>
      </ns0:c>
    </ns0:row>
    <ns0:row r="12" ht="60" customHeight="1">
      <ns0:c r="A12" s="18" t="inlineStr">
        <ns0:is>
          <ns0:t>Note: this is a top-down attribution, not the engine's variance decomposition. In analytics/pae/models/factor.py, each factor's contribution is β²·Var(factor)/Var(portfolio) from an OLS regression with intercept; residual risk = 1 − Σ contributions. With only 24 monthly observations the engine requires n ≥ k+2 (k = number of factors).</ns0:t>
        </ns0:is>
      </ns0:c>
    </ns0:row>
  </ns0:sheetData>
  <ns0:mergeCells count="3">
    <ns0:mergeCell ref="A1:D1"/>
    <ns0:mergeCell ref="A12:D12"/>
    <ns0:mergeCell ref="A2:D2"/>
  </ns0:mergeCells>
  <ns0:pageMargins left="0.75" right="0.75" top="1" bottom="1" header="0.5" footer="0.5"/>
</ns0:worksheet>
</file>

<file path=xl/worksheets/sheet6.xml><?xml version="1.0" encoding="utf-8"?>
<ns0:worksheet xmlns:ns0="http://schemas.openxmlformats.org/spreadsheetml/2006/main">
  <ns0:sheetPr>
    <ns0:tabColor rgb="00D35400"/>
    <ns0:outlinePr summaryBelow="1" summaryRight="1"/>
    <ns0:pageSetUpPr/>
  </ns0:sheetPr>
  <ns0:dimension ref="A1:E16"/>
  <ns0:sheetViews>
    <ns0:sheetView workbookViewId="0">
      <ns0:pane ySplit="3" topLeftCell="A4" activePane="bottomLeft" state="frozen"/>
      <ns0:selection pane="bottomLeft" activeCell="A1" sqref="A1"/>
    </ns0:sheetView>
  </ns0:sheetViews>
  <ns0:sheetFormatPr baseColWidth="8" defaultRowHeight="15"/>
  <ns0:cols>
    <ns0:col width="15" customWidth="1" min="1" max="1"/>
    <ns0:col width="14" customWidth="1" min="2" max="2"/>
    <ns0:col width="16" customWidth="1" min="3" max="3"/>
    <ns0:col width="16" customWidth="1" min="4" max="4"/>
    <ns0:col width="18" customWidth="1" min="5" max="5"/>
  </ns0:cols>
  <ns0:sheetData>
    <ns0:row r="1" ht="28" customHeight="1">
      <ns0:c r="A1" s="5" t="inlineStr">
        <ns0:is>
          <ns0:t>Scenario stress tests</ns0:t>
        </ns0:is>
      </ns0:c>
    </ns0:row>
    <ns0:row r="2" ht="30" customHeight="1">
      <ns0:c r="A2" s="6" t="inlineStr">
        <ns0:is>
          <ns0:t>Shock profiles mirror engine/src/risk/stress.rs (get_scenario_shocks). Allocation comes from INPUT_Holdings. Portfolio impact = Σ (allocation × shock). Shock cells are editable inputs (amber). Cash is modeled at 0% shock (the engine has no cash profile).</ns0:t>
        </ns0:is>
      </ns0:c>
    </ns0:row>
    <ns0:row r="3" ht="30" customHeight="1">
      <ns0:c r="A3" s="7" t="inlineStr">
        <ns0:is>
          <ns0:t>Asset Class</ns0:t>
        </ns0:is>
      </ns0:c>
      <ns0:c r="B3" s="7" t="inlineStr">
        <ns0:is>
          <ns0:t>Allocation</ns0:t>
        </ns0:is>
      </ns0:c>
      <ns0:c r="C3" s="7" t="inlineStr">
        <ns0:is>
          <ns0:t>GFC 2008</ns0:t>
        </ns0:is>
      </ns0:c>
      <ns0:c r="D3" s="7" t="inlineStr">
        <ns0:is>
          <ns0:t>COVID 2020</ns0:t>
        </ns0:is>
      </ns0:c>
      <ns0:c r="E3" s="7" t="inlineStr">
        <ns0:is>
          <ns0:t>Rate shock</ns0:t>
        </ns0:is>
      </ns0:c>
    </ns0:row>
    <ns0:row r="4">
      <ns0:c r="A4" t="inlineStr">
        <ns0:is>
          <ns0:t>Equity</ns0:t>
        </ns0:is>
      </ns0:c>
      <ns0:c r="B4" s="17">
        <ns0:f>SUMIF(INPUT_Holdings!$B$4:$B$11,$A4,INPUT_Holdings!$E$4:$E$11)/DASHBOARD!$B$4</ns0:f>
        <ns0:v>0.5002520161290323</ns0:v>
      </ns0:c>
      <ns0:c r="C4" s="11" t="n">
        <ns0:v>-0.5</ns0:v>
      </ns0:c>
      <ns0:c r="D4" s="11" t="n">
        <ns0:v>-0.34</ns0:v>
      </ns0:c>
      <ns0:c r="E4" s="11" t="n">
        <ns0:v>-0.25</ns0:v>
      </ns0:c>
    </ns0:row>
    <ns0:row r="5">
      <ns0:c r="A5" t="inlineStr">
        <ns0:is>
          <ns0:t>Fixed Income</ns0:t>
        </ns0:is>
      </ns0:c>
      <ns0:c r="B5" s="17">
        <ns0:f>SUMIF(INPUT_Holdings!$B$4:$B$11,$A5,INPUT_Holdings!$E$4:$E$11)/DASHBOARD!$B$4</ns0:f>
        <ns0:v>0.1310483870967742</ns0:v>
      </ns0:c>
      <ns0:c r="C5" s="11" t="n">
        <ns0:v>0.05</ns0:v>
      </ns0:c>
      <ns0:c r="D5" s="11" t="n">
        <ns0:v>0.02</ns0:v>
      </ns0:c>
      <ns0:c r="E5" s="11" t="n">
        <ns0:v>-0.15</ns0:v>
      </ns0:c>
    </ns0:row>
    <ns0:row r="6">
      <ns0:c r="A6" t="inlineStr">
        <ns0:is>
          <ns0:t>Commodity</ns0:t>
        </ns0:is>
      </ns0:c>
      <ns0:c r="B6" s="17">
        <ns0:f>SUMIF(INPUT_Holdings!$B$4:$B$11,$A6,INPUT_Holdings!$E$4:$E$11)/DASHBOARD!$B$4</ns0:f>
        <ns0:v>0.056451612903225805</ns0:v>
      </ns0:c>
      <ns0:c r="C6" s="11" t="n">
        <ns0:v>-0.35</ns0:v>
      </ns0:c>
      <ns0:c r="D6" s="11" t="n">
        <ns0:v>-0.25</ns0:v>
      </ns0:c>
      <ns0:c r="E6" s="11" t="n">
        <ns0:v>0.1</ns0:v>
      </ns0:c>
    </ns0:row>
    <ns0:row r="7">
      <ns0:c r="A7" t="inlineStr">
        <ns0:is>
          <ns0:t>Real Estate</ns0:t>
        </ns0:is>
      </ns0:c>
      <ns0:c r="B7" s="17">
        <ns0:f>SUMIF(INPUT_Holdings!$B$4:$B$11,$A7,INPUT_Holdings!$E$4:$E$11)/DASHBOARD!$B$4</ns0:f>
        <ns0:v>0.06653225806451613</ns0:v>
      </ns0:c>
      <ns0:c r="C7" s="11" t="n">
        <ns0:v>-0.3</ns0:v>
      </ns0:c>
      <ns0:c r="D7" s="11" t="n">
        <ns0:v>-0.15</ns0:v>
      </ns0:c>
      <ns0:c r="E7" s="11" t="n">
        <ns0:v>-0.1</ns0:v>
      </ns0:c>
    </ns0:row>
    <ns0:row r="8">
      <ns0:c r="A8" t="inlineStr">
        <ns0:is>
          <ns0:t>Preferred</ns0:t>
        </ns0:is>
      </ns0:c>
      <ns0:c r="B8" s="17">
        <ns0:f>SUMIF(INPUT_Holdings!$B$4:$B$11,$A8,INPUT_Holdings!$E$4:$E$11)/DASHBOARD!$B$4</ns0:f>
        <ns0:v>0.044102822580645164</ns0:v>
      </ns0:c>
      <ns0:c r="C8" s="11" t="n">
        <ns0:v>-0.25</ns0:v>
      </ns0:c>
      <ns0:c r="D8" s="11" t="n">
        <ns0:v>-0.2</ns0:v>
      </ns0:c>
      <ns0:c r="E8" s="11" t="n">
        <ns0:v>-0.15</ns0:v>
      </ns0:c>
    </ns0:row>
    <ns0:row r="9">
      <ns0:c r="A9" t="inlineStr">
        <ns0:is>
          <ns0:t>Cash</ns0:t>
        </ns0:is>
      </ns0:c>
      <ns0:c r="B9" s="17">
        <ns0:f>SUMIF(INPUT_Holdings!$B$4:$B$11,$A9,INPUT_Holdings!$E$4:$E$11)/DASHBOARD!$B$4</ns0:f>
        <ns0:v>0.20161290322580644</ns0:v>
      </ns0:c>
      <ns0:c r="C9" s="11" t="n">
        <ns0:v>0</ns0:v>
      </ns0:c>
      <ns0:c r="D9" s="11" t="n">
        <ns0:v>0</ns0:v>
      </ns0:c>
      <ns0:c r="E9" s="11" t="n">
        <ns0:v>0</ns0:v>
      </ns0:c>
    </ns0:row>
    <ns0:row r="11" ht="30" customHeight="1">
      <ns0:c r="A11" s="7" t="inlineStr">
        <ns0:is>
          <ns0:t>Scenario</ns0:t>
        </ns0:is>
      </ns0:c>
      <ns0:c r="B11" s="7" t="inlineStr">
        <ns0:is>
          <ns0:t>Portfolio impact</ns0:t>
        </ns0:is>
      </ns0:c>
      <ns0:c r="C11" s="7" t="inlineStr">
        <ns0:is>
          <ns0:t>Impact (CAD)</ns0:t>
        </ns0:is>
      </ns0:c>
    </ns0:row>
    <ns0:row r="12">
      <ns0:c r="A12" t="inlineStr">
        <ns0:is>
          <ns0:t>GFC 2008 (2008-style)</ns0:t>
        </ns0:is>
      </ns0:c>
      <ns0:c r="B12" s="17">
        <ns0:f>SUMPRODUCT($B$4:$B$9,C$4:C$9)</ns0:f>
        <ns0:v>-0.2943170362903226</ns0:v>
      </ns0:c>
      <ns0:c r="C12" s="10">
        <ns0:f>B12*DASHBOARD!$B$4</ns0:f>
        <ns0:v>-17517.75</ns0:v>
      </ns0:c>
    </ns0:row>
    <ns0:row r="13">
      <ns0:c r="A13" t="inlineStr">
        <ns0:is>
          <ns0:t>COVID 2020 (2020-style)</ns0:t>
        </ns0:is>
      </ns0:c>
      <ns0:c r="B13" s="17">
        <ns0:f>SUMPRODUCT($B$4:$B$9,D$4:D$9)</ns0:f>
        <ns0:v>-0.20037802419354842</ns0:v>
      </ns0:c>
      <ns0:c r="C13" s="10">
        <ns0:f>B13*DASHBOARD!$B$4</ns0:f>
        <ns0:v>-11926.500000000002</ns0:v>
      </ns0:c>
    </ns0:row>
    <ns0:row r="14">
      <ns0:c r="A14" t="inlineStr">
        <ns0:is>
          <ns0:t>Rate shock (2022-style)</ns0:t>
        </ns0:is>
      </ns0:c>
      <ns0:c r="B14" s="17">
        <ns0:f>SUMPRODUCT($B$4:$B$9,E$4:E$9)</ns0:f>
        <ns0:v>-0.15234375</ns0:v>
      </ns0:c>
      <ns0:c r="C14" s="10">
        <ns0:f>B14*DASHBOARD!$B$4</ns0:f>
        <ns0:v>-9067.5</ns0:v>
      </ns0:c>
    </ns0:row>
    <ns0:row r="16" ht="60" customHeight="1">
      <ns0:c r="A16" s="18" t="inlineStr">
        <ns0:is>
          <ns0:t>Engine reference — stress.rs shocks: GFC 2008 equity −50% / fixed income +5%; COVID 2020 equity −34% / fixed income +2%; Rate shock 2022 equity −25% / fixed income −15% / commodity +10%. The engine's classify_asset() is a stub (all holdings → equity); this sheet maps each holding by its INPUT_Holdings asset class instead.</ns0:t>
        </ns0:is>
      </ns0:c>
    </ns0:row>
  </ns0:sheetData>
  <ns0:mergeCells count="3">
    <ns0:mergeCell ref="A2:E2"/>
    <ns0:mergeCell ref="A16:E16"/>
    <ns0:mergeCell ref="A1:E1"/>
  </ns0:mergeCells>
  <ns0:pageMargins left="0.75" right="0.75" top="1" bottom="1" header="0.5" footer="0.5"/>
</ns0:worksheet>
</file>

<file path=xl/worksheets/sheet7.xml><?xml version="1.0" encoding="utf-8"?>
<ns0:worksheet xmlns:ns0="http://schemas.openxmlformats.org/spreadsheetml/2006/main">
  <ns0:sheetPr>
    <ns0:tabColor rgb="001F4E5F"/>
    <ns0:outlinePr summaryBelow="1" summaryRight="1"/>
    <ns0:pageSetUpPr/>
  </ns0:sheetPr>
  <ns0:dimension ref="A1:C30"/>
  <ns0:sheetViews>
    <ns0:sheetView workbookViewId="0">
      <ns0:pane ySplit="3" topLeftCell="A4" activePane="bottomLeft" state="frozen"/>
      <ns0:selection pane="bottomLeft" activeCell="A1" sqref="A1"/>
    </ns0:sheetView>
  </ns0:sheetViews>
  <ns0:sheetFormatPr baseColWidth="8" defaultRowHeight="15"/>
  <ns0:cols>
    <ns0:col width="26" customWidth="1" min="1" max="1"/>
    <ns0:col width="20" customWidth="1" min="2" max="2"/>
    <ns0:col width="64" customWidth="1" min="3" max="3"/>
  </ns0:cols>
  <ns0:sheetData>
    <ns0:row r="1" ht="28" customHeight="1">
      <ns0:c r="A1" s="5" t="inlineStr">
        <ns0:is>
          <ns0:t>Portfolio dashboard</ns0:t>
        </ns0:is>
      </ns0:c>
    </ns0:row>
    <ns0:row r="2" ht="30" customHeight="1">
      <ns0:c r="A2" s="6" t="inlineStr">
        <ns0:is>
          <ns0:t>Summary cards pull live from the calculation sheets. Below: a plain-text interpretation guide (educational).</ns0:t>
        </ns0:is>
      </ns0:c>
    </ns0:row>
    <ns0:row r="3" ht="30" customHeight="1">
      <ns0:c r="A3" s="7" t="inlineStr">
        <ns0:is>
          <ns0:t>Card</ns0:t>
        </ns0:is>
      </ns0:c>
      <ns0:c r="B3" s="7" t="inlineStr">
        <ns0:is>
          <ns0:t>Value</ns0:t>
        </ns0:is>
      </ns0:c>
      <ns0:c r="C3" s="7" t="inlineStr">
        <ns0:is>
          <ns0:t>Source</ns0:t>
        </ns0:is>
      </ns0:c>
    </ns0:row>
    <ns0:row r="4">
      <ns0:c r="A4" s="12" t="inlineStr">
        <ns0:is>
          <ns0:t>NAV (CAD)</ns0:t>
        </ns0:is>
      </ns0:c>
      <ns0:c r="B4" s="10">
        <ns0:f>SUM(INPUT_Holdings!E4:E11)</ns0:f>
        <ns0:v>59520.0</ns0:v>
      </ns0:c>
      <ns0:c r="C4" s="15" t="inlineStr">
        <ns0:is>
          <ns0:t>INPUT_Holdings</ns0:t>
        </ns0:is>
      </ns0:c>
    </ns0:row>
    <ns0:row r="5">
      <ns0:c r="A5" s="12" t="inlineStr">
        <ns0:is>
          <ns0:t>Total cost basis (CAD)</ns0:t>
        </ns0:is>
      </ns0:c>
      <ns0:c r="B5" s="10">
        <ns0:f>SUM(INPUT_Holdings!F4:F11)</ns0:f>
        <ns0:v>54700.0</ns0:v>
      </ns0:c>
      <ns0:c r="C5" s="15" t="inlineStr">
        <ns0:is>
          <ns0:t>INPUT_Holdings</ns0:t>
        </ns0:is>
      </ns0:c>
    </ns0:row>
    <ns0:row r="6">
      <ns0:c r="A6" s="12" t="inlineStr">
        <ns0:is>
          <ns0:t>P&amp;L (CAD)</ns0:t>
        </ns0:is>
      </ns0:c>
      <ns0:c r="B6" s="10">
        <ns0:f>B4-B5</ns0:f>
        <ns0:v>4820.0</ns0:v>
      </ns0:c>
      <ns0:c r="C6" s="15" t="inlineStr">
        <ns0:is>
          <ns0:t>This sheet</ns0:t>
        </ns0:is>
      </ns0:c>
    </ns0:row>
    <ns0:row r="7">
      <ns0:c r="A7" s="12" t="inlineStr">
        <ns0:is>
          <ns0:t>P&amp;L %</ns0:t>
        </ns0:is>
      </ns0:c>
      <ns0:c r="B7" s="17">
        <ns0:f>IF(B5=0,0,B6/B5)</ns0:f>
        <ns0:v>0.08811700182815356</ns0:v>
      </ns0:c>
      <ns0:c r="C7" s="15" t="inlineStr">
        <ns0:is>
          <ns0:t>This sheet</ns0:t>
        </ns0:is>
      </ns0:c>
    </ns0:row>
    <ns0:row r="8">
      <ns0:c r="A8" s="12" t="inlineStr">
        <ns0:is>
          <ns0:t>Annualized volatility</ns0:t>
        </ns0:is>
      </ns0:c>
      <ns0:c r="B8" s="17">
        <ns0:f>RISK!B6</ns0:f>
        <ns0:v>0.07605032658649824</ns0:v>
      </ns0:c>
      <ns0:c r="C8" s="15" t="inlineStr">
        <ns0:is>
          <ns0:t>RISK</ns0:t>
        </ns0:is>
      </ns0:c>
    </ns0:row>
    <ns0:row r="9">
      <ns0:c r="A9" s="12" t="inlineStr">
        <ns0:is>
          <ns0:t>Sharpe ratio</ns0:t>
        </ns0:is>
      </ns0:c>
      <ns0:c r="B9" s="16">
        <ns0:f>RISK!B8</ns0:f>
        <ns0:v>0.15942542520434966</ns0:v>
      </ns0:c>
      <ns0:c r="C9" s="15" t="inlineStr">
        <ns0:is>
          <ns0:t>RISK</ns0:t>
        </ns0:is>
      </ns0:c>
    </ns0:row>
    <ns0:row r="10">
      <ns0:c r="A10" s="12" t="inlineStr">
        <ns0:is>
          <ns0:t>Sortino ratio</ns0:t>
        </ns0:is>
      </ns0:c>
      <ns0:c r="B10" s="16">
        <ns0:f>RISK!B10</ns0:f>
        <ns0:v>0.13785838526446811</ns0:v>
      </ns0:c>
      <ns0:c r="C10" s="15" t="inlineStr">
        <ns0:is>
          <ns0:t>RISK</ns0:t>
        </ns0:is>
      </ns0:c>
    </ns0:row>
    <ns0:row r="11">
      <ns0:c r="A11" s="12" t="inlineStr">
        <ns0:is>
          <ns0:t>Max drawdown</ns0:t>
        </ns0:is>
      </ns0:c>
      <ns0:c r="B11" s="17">
        <ns0:f>RISK!B11</ns0:f>
        <ns0:v>0.03799999999999994</ns0:v>
      </ns0:c>
      <ns0:c r="C11" s="15" t="inlineStr">
        <ns0:is>
          <ns0:t>RISK</ns0:t>
        </ns0:is>
      </ns0:c>
    </ns0:row>
    <ns0:row r="12">
      <ns0:c r="A12" s="12" t="inlineStr">
        <ns0:is>
          <ns0:t>VaR 95% (monthly)</ns0:t>
        </ns0:is>
      </ns0:c>
      <ns0:c r="B12" s="17">
        <ns0:f>RISK!B12</ns0:f>
        <ns0:v>0.031</ns0:v>
      </ns0:c>
      <ns0:c r="C12" s="15" t="inlineStr">
        <ns0:is>
          <ns0:t>RISK</ns0:t>
        </ns0:is>
      </ns0:c>
    </ns0:row>
    <ns0:row r="13">
      <ns0:c r="A13" s="12" t="inlineStr">
        <ns0:is>
          <ns0:t>CVaR 95% (monthly)</ns0:t>
        </ns0:is>
      </ns0:c>
      <ns0:c r="B13" s="17">
        <ns0:f>RISK!B13</ns0:f>
        <ns0:v>0.038</ns0:v>
      </ns0:c>
      <ns0:c r="C13" s="15" t="inlineStr">
        <ns0:is>
          <ns0:t>RISK</ns0:t>
        </ns0:is>
      </ns0:c>
    </ns0:row>
    <ns0:row r="14">
      <ns0:c r="A14" s="12" t="inlineStr">
        <ns0:is>
          <ns0:t>GFC 2008 impact</ns0:t>
        </ns0:is>
      </ns0:c>
      <ns0:c r="B14" s="17">
        <ns0:f>SCENARIOS!B12</ns0:f>
        <ns0:v>-0.2943170362903226</ns0:v>
      </ns0:c>
      <ns0:c r="C14" s="15" t="inlineStr">
        <ns0:is>
          <ns0:t>SCENARIOS</ns0:t>
        </ns0:is>
      </ns0:c>
    </ns0:row>
    <ns0:row r="15">
      <ns0:c r="A15" s="12" t="inlineStr">
        <ns0:is>
          <ns0:t>COVID 2020 impact</ns0:t>
        </ns0:is>
      </ns0:c>
      <ns0:c r="B15" s="17">
        <ns0:f>SCENARIOS!B13</ns0:f>
        <ns0:v>-0.20037802419354842</ns0:v>
      </ns0:c>
      <ns0:c r="C15" s="15" t="inlineStr">
        <ns0:is>
          <ns0:t>SCENARIOS</ns0:t>
        </ns0:is>
      </ns0:c>
    </ns0:row>
    <ns0:row r="16">
      <ns0:c r="A16" s="12" t="inlineStr">
        <ns0:is>
          <ns0:t>Rate shock impact</ns0:t>
        </ns0:is>
      </ns0:c>
      <ns0:c r="B16" s="17">
        <ns0:f>SCENARIOS!B14</ns0:f>
        <ns0:v>-0.15234375</ns0:v>
      </ns0:c>
      <ns0:c r="C16" s="15" t="inlineStr">
        <ns0:is>
          <ns0:t>SCENARIOS</ns0:t>
        </ns0:is>
      </ns0:c>
    </ns0:row>
    <ns0:row r="19">
      <ns0:c r="A19" s="5" t="inlineStr">
        <ns0:is>
          <ns0:t>Interpretation guide (educational)</ns0:t>
        </ns0:is>
      </ns0:c>
    </ns0:row>
    <ns0:row r="20" ht="30" customHeight="1">
      <ns0:c r="A20" s="7" t="inlineStr">
        <ns0:is>
          <ns0:t>Metric</ns0:t>
        </ns0:is>
      </ns0:c>
      <ns0:c r="B20" s="7" t="inlineStr">
        <ns0:is>
          <ns0:t>What it means</ns0:t>
        </ns0:is>
      </ns0:c>
      <ns0:c r="C20" s="7" t="inlineStr">
        <ns0:is>
          <ns0:t>How to read it</ns0:t>
        </ns0:is>
      </ns0:c>
    </ns0:row>
    <ns0:row r="21" ht="34" customHeight="1">
      <ns0:c r="A21" s="12" t="inlineStr">
        <ns0:is>
          <ns0:t>Volatility</ns0:t>
        </ns0:is>
      </ns0:c>
      <ns0:c r="B21" s="20" t="inlineStr">
        <ns0:is>
          <ns0:t>How much monthly returns typically wobble around their average.</ns0:t>
        </ns0:is>
      </ns0:c>
      <ns0:c r="C21" s="20" t="inlineStr">
        <ns0:is>
          <ns0:t>Higher = bumpier ride. Annualized ×√12 for comparability.</ns0:t>
        </ns0:is>
      </ns0:c>
    </ns0:row>
    <ns0:row r="22" ht="34" customHeight="1">
      <ns0:c r="A22" s="12" t="inlineStr">
        <ns0:is>
          <ns0:t>Sharpe ratio</ns0:t>
        </ns0:is>
      </ns0:c>
      <ns0:c r="B22" s="20" t="inlineStr">
        <ns0:is>
          <ns0:t>Excess return per unit of total volatility (PAE engine: monthly).</ns0:t>
        </ns0:is>
      </ns0:c>
      <ns0:c r="C22" s="20" t="inlineStr">
        <ns0:is>
          <ns0:t>Above 1 is strong, below 0 means you trailed the risk-free rate.</ns0:t>
        </ns0:is>
      </ns0:c>
    </ns0:row>
    <ns0:row r="23" ht="34" customHeight="1">
      <ns0:c r="A23" s="12" t="inlineStr">
        <ns0:is>
          <ns0:t>Sortino ratio</ns0:t>
        </ns0:is>
      </ns0:c>
      <ns0:c r="B23" s="20" t="inlineStr">
        <ns0:is>
          <ns0:t>Like Sharpe, but only downside wobbles count as risk.</ns0:t>
        </ns0:is>
      </ns0:c>
      <ns0:c r="C23" s="20" t="inlineStr">
        <ns0:is>
          <ns0:t>Higher = returns came with less painful downside.</ns0:t>
        </ns0:is>
      </ns0:c>
    </ns0:row>
    <ns0:row r="24" ht="34" customHeight="1">
      <ns0:c r="A24" s="12" t="inlineStr">
        <ns0:is>
          <ns0:t>Max drawdown</ns0:t>
        </ns0:is>
      </ns0:c>
      <ns0:c r="B24" s="20" t="inlineStr">
        <ns0:is>
          <ns0:t>Worst peak-to-trough fall the portfolio suffered in the window.</ns0:t>
        </ns0:is>
      </ns0:c>
      <ns0:c r="C24" s="20" t="inlineStr">
        <ns0:is>
          <ns0:t>A 20% drawdown needs a 25% gain just to get back to even.</ns0:t>
        </ns0:is>
      </ns0:c>
    </ns0:row>
    <ns0:row r="25" ht="34" customHeight="1">
      <ns0:c r="A25" s="12" t="inlineStr">
        <ns0:is>
          <ns0:t>VaR 95%</ns0:t>
        </ns0:is>
      </ns0:c>
      <ns0:c r="B25" s="20" t="inlineStr">
        <ns0:is>
          <ns0:t>On the 2nd-worst month out of 24, the loss was at most this.</ns0:t>
        </ns0:is>
      </ns0:c>
      <ns0:c r="C25" s="20" t="inlineStr">
        <ns0:is>
          <ns0:t>A planning number, not a worst case — tail losses exceed it.</ns0:t>
        </ns0:is>
      </ns0:c>
    </ns0:row>
    <ns0:row r="26" ht="34" customHeight="1">
      <ns0:c r="A26" s="12" t="inlineStr">
        <ns0:is>
          <ns0:t>CVaR 95%</ns0:t>
        </ns0:is>
      </ns0:c>
      <ns0:c r="B26" s="20" t="inlineStr">
        <ns0:is>
          <ns0:t>Average loss in months worse than the VaR cutoff.</ns0:t>
        </ns0:is>
      </ns0:c>
      <ns0:c r="C26" s="20" t="inlineStr">
        <ns0:is>
          <ns0:t>More conservative than VaR; answers 'how bad is bad?'.</ns0:t>
        </ns0:is>
      </ns0:c>
    </ns0:row>
    <ns0:row r="27" ht="34" customHeight="1">
      <ns0:c r="A27" s="12" t="inlineStr">
        <ns0:is>
          <ns0:t>Factor contribution</ns0:t>
        </ns0:is>
      </ns0:c>
      <ns0:c r="B27" s="20" t="inlineStr">
        <ns0:is>
          <ns0:t>How much of expected return each style factor explains.</ns0:t>
        </ns0:is>
      </ns0:c>
      <ns0:c r="C27" s="20" t="inlineStr">
        <ns0:is>
          <ns0:t>Simplified here; the engine estimates exposures by regression.</ns0:t>
        </ns0:is>
      </ns0:c>
    </ns0:row>
    <ns0:row r="28" ht="34" customHeight="1">
      <ns0:c r="A28" s="12" t="inlineStr">
        <ns0:is>
          <ns0:t>Scenario impact</ns0:t>
        </ns0:is>
      </ns0:c>
      <ns0:c r="B28" s="20" t="inlineStr">
        <ns0:is>
          <ns0:t>What the portfolio would lose if a historical shock repeated.</ns0:t>
        </ns0:is>
      </ns0:c>
      <ns0:c r="C28" s="20" t="inlineStr">
        <ns0:is>
          <ns0:t>Shocks are stylized history, not forecasts.</ns0:t>
        </ns0:is>
      </ns0:c>
    </ns0:row>
    <ns0:row r="30">
      <ns0:c r="A30" s="15" t="inlineStr">
        <ns0:is>
          <ns0:t>This tool calculates; you decide. Nothing here is investment advice or a buy/sell recommendation.</ns0:t>
        </ns0:is>
      </ns0:c>
    </ns0:row>
  </ns0:sheetData>
  <ns0:mergeCells count="4">
    <ns0:mergeCell ref="A1:C1"/>
    <ns0:mergeCell ref="A19:C19"/>
    <ns0:mergeCell ref="A2:C2"/>
    <ns0:mergeCell ref="A30:C30"/>
  </ns0:mergeCells>
  <ns0:pageMargins left="0.75" right="0.75" top="1" bottom="1" header="0.5" footer="0.5"/>
</ns0: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2026-10-05T07:56:06+00:00Z</dcterms:created>
  <dcterms:modified xmlns:dcterms="http://purl.org/dc/terms/" xmlns:xsi="http://www.w3.org/2001/XMLSchema-instance" xsi:type="dcterms:W3CDTF">2026-10-05T07:56:06+00:00Z</dcterms:modified>
</cp:coreProperties>
</file>